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0.0%"/>
  </numFmts>
  <fonts count="5">
    <font>
      <name val="Calibri"/>
      <family val="2"/>
      <color theme="1"/>
      <sz val="11"/>
      <scheme val="minor"/>
    </font>
    <font>
      <i val="1"/>
      <color rgb="00555555"/>
    </font>
    <font>
      <b val="1"/>
    </font>
    <font>
      <color rgb="001F4FD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3F1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3" fontId="3" fillId="0" borderId="0" pivotButton="0" quotePrefix="0" xfId="0"/>
    <xf numFmtId="9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9" fontId="2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ont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15" customWidth="1" min="8" max="8"/>
    <col width="16" customWidth="1" min="9" max="9"/>
    <col width="16" customWidth="1" min="10" max="10"/>
    <col width="11" customWidth="1" min="11" max="11"/>
    <col width="11" customWidth="1" min="12" max="12"/>
    <col width="16" customWidth="1" min="13" max="13"/>
    <col width="11" customWidth="1" min="14" max="14"/>
    <col width="11" customWidth="1" min="15" max="15"/>
    <col width="11" customWidth="1" min="16" max="16"/>
    <col width="16" customWidth="1" min="17" max="17"/>
    <col width="11" customWidth="1" min="18" max="18"/>
    <col width="16" customWidth="1" min="19" max="19"/>
    <col width="14" customWidth="1" min="20" max="20"/>
    <col width="16" customWidth="1" min="21" max="21"/>
    <col width="16" customWidth="1" min="22" max="22"/>
    <col width="46" customWidth="1" min="23" max="23"/>
  </cols>
  <sheetData>
    <row r="1">
      <c r="A1" s="1" t="inlineStr">
        <is>
          <t>Example numbers only. Replace the blue input cells with your own data. Amounts in your store currency.</t>
        </is>
      </c>
    </row>
    <row r="2" ht="32" customHeight="1">
      <c r="A2" s="2" t="inlineStr">
        <is>
          <t>Month</t>
        </is>
      </c>
      <c r="B2" s="2" t="inlineStr">
        <is>
          <t>Channel</t>
        </is>
      </c>
      <c r="C2" s="2" t="inlineStr">
        <is>
          <t>Ad spend</t>
        </is>
      </c>
      <c r="D2" s="2" t="inlineStr">
        <is>
          <t>Impressions</t>
        </is>
      </c>
      <c r="E2" s="2" t="inlineStr">
        <is>
          <t>Clicks</t>
        </is>
      </c>
      <c r="F2" s="2" t="inlineStr">
        <is>
          <t>Orders</t>
        </is>
      </c>
      <c r="G2" s="2" t="inlineStr">
        <is>
          <t>Revenue</t>
        </is>
      </c>
      <c r="H2" s="2" t="inlineStr">
        <is>
          <t>New customers</t>
        </is>
      </c>
      <c r="I2" s="2" t="inlineStr">
        <is>
          <t>Gross margin %</t>
        </is>
      </c>
      <c r="J2" s="2" t="inlineStr">
        <is>
          <t>Returning-customer orders</t>
        </is>
      </c>
      <c r="K2" s="2" t="inlineStr">
        <is>
          <t>CTR</t>
        </is>
      </c>
      <c r="L2" s="2" t="inlineStr">
        <is>
          <t>CPC</t>
        </is>
      </c>
      <c r="M2" s="2" t="inlineStr">
        <is>
          <t>Conversion rate</t>
        </is>
      </c>
      <c r="N2" s="2" t="inlineStr">
        <is>
          <t>AOV</t>
        </is>
      </c>
      <c r="O2" s="2" t="inlineStr">
        <is>
          <t>ROAS</t>
        </is>
      </c>
      <c r="P2" s="2" t="inlineStr">
        <is>
          <t>ACoS</t>
        </is>
      </c>
      <c r="Q2" s="2" t="inlineStr">
        <is>
          <t>Cost per order</t>
        </is>
      </c>
      <c r="R2" s="2" t="inlineStr">
        <is>
          <t>CAC</t>
        </is>
      </c>
      <c r="S2" s="2" t="inlineStr">
        <is>
          <t>New-customer share</t>
        </is>
      </c>
      <c r="T2" s="2" t="inlineStr">
        <is>
          <t>Gross profit</t>
        </is>
      </c>
      <c r="U2" s="2" t="inlineStr">
        <is>
          <t>Profit after ads</t>
        </is>
      </c>
      <c r="V2" s="2" t="inlineStr">
        <is>
          <t>Break-even ROAS</t>
        </is>
      </c>
      <c r="W2" s="2" t="inlineStr">
        <is>
          <t>Notes</t>
        </is>
      </c>
    </row>
    <row r="3">
      <c r="A3" s="3" t="inlineStr">
        <is>
          <t>Sep 2026</t>
        </is>
      </c>
      <c r="B3" s="3" t="inlineStr">
        <is>
          <t>Meta ads</t>
        </is>
      </c>
      <c r="C3" s="4" t="n">
        <v>60000</v>
      </c>
      <c r="D3" s="4" t="n">
        <v>900000</v>
      </c>
      <c r="E3" s="4" t="n">
        <v>12000</v>
      </c>
      <c r="F3" s="4" t="n">
        <v>150</v>
      </c>
      <c r="G3" s="4" t="n">
        <v>210000</v>
      </c>
      <c r="H3" s="4" t="n">
        <v>110</v>
      </c>
      <c r="I3" s="5" t="n">
        <v>0.45</v>
      </c>
      <c r="J3" s="6">
        <f>F3-H3</f>
        <v/>
      </c>
      <c r="K3" s="7">
        <f>IFERROR(E3/D3,"")</f>
        <v/>
      </c>
      <c r="L3" s="8">
        <f>IFERROR(C3/E3,"")</f>
        <v/>
      </c>
      <c r="M3" s="7">
        <f>IFERROR(F3/E3,"")</f>
        <v/>
      </c>
      <c r="N3" s="6">
        <f>IFERROR(G3/F3,"")</f>
        <v/>
      </c>
      <c r="O3" s="9">
        <f>IFERROR(G3/C3,"")</f>
        <v/>
      </c>
      <c r="P3" s="10">
        <f>IFERROR(C3/G3,"")</f>
        <v/>
      </c>
      <c r="Q3" s="6">
        <f>IFERROR(C3/F3,"")</f>
        <v/>
      </c>
      <c r="R3" s="6">
        <f>IFERROR(C3/H3,"")</f>
        <v/>
      </c>
      <c r="S3" s="10">
        <f>IFERROR(H3/F3,"")</f>
        <v/>
      </c>
      <c r="T3" s="6">
        <f>G3*I3</f>
        <v/>
      </c>
      <c r="U3" s="6">
        <f>T3-C3</f>
        <v/>
      </c>
      <c r="V3" s="9">
        <f>IFERROR(1/I3,"")</f>
        <v/>
      </c>
      <c r="W3" s="3" t="inlineStr">
        <is>
          <t>Prospecting + retargeting</t>
        </is>
      </c>
    </row>
    <row r="4">
      <c r="A4" s="3" t="inlineStr">
        <is>
          <t>Sep 2026</t>
        </is>
      </c>
      <c r="B4" s="3" t="inlineStr">
        <is>
          <t>Google ads</t>
        </is>
      </c>
      <c r="C4" s="4" t="n">
        <v>40000</v>
      </c>
      <c r="D4" s="4" t="n">
        <v>300000</v>
      </c>
      <c r="E4" s="4" t="n">
        <v>8000</v>
      </c>
      <c r="F4" s="4" t="n">
        <v>120</v>
      </c>
      <c r="G4" s="4" t="n">
        <v>180000</v>
      </c>
      <c r="H4" s="4" t="n">
        <v>70</v>
      </c>
      <c r="I4" s="5" t="n">
        <v>0.45</v>
      </c>
      <c r="J4" s="6">
        <f>F4-H4</f>
        <v/>
      </c>
      <c r="K4" s="7">
        <f>IFERROR(E4/D4,"")</f>
        <v/>
      </c>
      <c r="L4" s="8">
        <f>IFERROR(C4/E4,"")</f>
        <v/>
      </c>
      <c r="M4" s="7">
        <f>IFERROR(F4/E4,"")</f>
        <v/>
      </c>
      <c r="N4" s="6">
        <f>IFERROR(G4/F4,"")</f>
        <v/>
      </c>
      <c r="O4" s="9">
        <f>IFERROR(G4/C4,"")</f>
        <v/>
      </c>
      <c r="P4" s="10">
        <f>IFERROR(C4/G4,"")</f>
        <v/>
      </c>
      <c r="Q4" s="6">
        <f>IFERROR(C4/F4,"")</f>
        <v/>
      </c>
      <c r="R4" s="6">
        <f>IFERROR(C4/H4,"")</f>
        <v/>
      </c>
      <c r="S4" s="10">
        <f>IFERROR(H4/F4,"")</f>
        <v/>
      </c>
      <c r="T4" s="6">
        <f>G4*I4</f>
        <v/>
      </c>
      <c r="U4" s="6">
        <f>T4-C4</f>
        <v/>
      </c>
      <c r="V4" s="9">
        <f>IFERROR(1/I4,"")</f>
        <v/>
      </c>
      <c r="W4" s="3" t="inlineStr">
        <is>
          <t>Search, Shopping, PMax</t>
        </is>
      </c>
    </row>
    <row r="5">
      <c r="A5" s="3" t="inlineStr">
        <is>
          <t>Sep 2026</t>
        </is>
      </c>
      <c r="B5" s="3" t="inlineStr">
        <is>
          <t>Amazon ads</t>
        </is>
      </c>
      <c r="C5" s="4" t="n">
        <v>30000</v>
      </c>
      <c r="D5" s="4" t="n">
        <v>400000</v>
      </c>
      <c r="E5" s="4" t="n">
        <v>6000</v>
      </c>
      <c r="F5" s="4" t="n">
        <v>140</v>
      </c>
      <c r="G5" s="4" t="n">
        <v>140000</v>
      </c>
      <c r="H5" s="4" t="n">
        <v>90</v>
      </c>
      <c r="I5" s="5" t="n">
        <v>0.3</v>
      </c>
      <c r="J5" s="6">
        <f>F5-H5</f>
        <v/>
      </c>
      <c r="K5" s="7">
        <f>IFERROR(E5/D5,"")</f>
        <v/>
      </c>
      <c r="L5" s="8">
        <f>IFERROR(C5/E5,"")</f>
        <v/>
      </c>
      <c r="M5" s="7">
        <f>IFERROR(F5/E5,"")</f>
        <v/>
      </c>
      <c r="N5" s="6">
        <f>IFERROR(G5/F5,"")</f>
        <v/>
      </c>
      <c r="O5" s="9">
        <f>IFERROR(G5/C5,"")</f>
        <v/>
      </c>
      <c r="P5" s="10">
        <f>IFERROR(C5/G5,"")</f>
        <v/>
      </c>
      <c r="Q5" s="6">
        <f>IFERROR(C5/F5,"")</f>
        <v/>
      </c>
      <c r="R5" s="6">
        <f>IFERROR(C5/H5,"")</f>
        <v/>
      </c>
      <c r="S5" s="10">
        <f>IFERROR(H5/F5,"")</f>
        <v/>
      </c>
      <c r="T5" s="6">
        <f>G5*I5</f>
        <v/>
      </c>
      <c r="U5" s="6">
        <f>T5-C5</f>
        <v/>
      </c>
      <c r="V5" s="9">
        <f>IFERROR(1/I5,"")</f>
        <v/>
      </c>
      <c r="W5" s="3" t="inlineStr">
        <is>
          <t>Sponsored Products + Brands; new customers = new-to-brand orders</t>
        </is>
      </c>
    </row>
    <row r="6">
      <c r="A6" s="11" t="inlineStr">
        <is>
          <t>Sep 2026</t>
        </is>
      </c>
      <c r="B6" s="11" t="inlineStr">
        <is>
          <t>Total</t>
        </is>
      </c>
      <c r="C6" s="12">
        <f>SUM(C3:C5)</f>
        <v/>
      </c>
      <c r="D6" s="12">
        <f>SUM(D3:D5)</f>
        <v/>
      </c>
      <c r="E6" s="12">
        <f>SUM(E3:E5)</f>
        <v/>
      </c>
      <c r="F6" s="12">
        <f>SUM(F3:F5)</f>
        <v/>
      </c>
      <c r="G6" s="12">
        <f>SUM(G3:G5)</f>
        <v/>
      </c>
      <c r="H6" s="12">
        <f>SUM(H3:H5)</f>
        <v/>
      </c>
      <c r="I6" s="13">
        <f>IFERROR(T6/G6,"")</f>
        <v/>
      </c>
      <c r="J6" s="12">
        <f>F6-H6</f>
        <v/>
      </c>
      <c r="K6" s="14">
        <f>IFERROR(E6/D6,"")</f>
        <v/>
      </c>
      <c r="L6" s="15">
        <f>IFERROR(C6/E6,"")</f>
        <v/>
      </c>
      <c r="M6" s="14">
        <f>IFERROR(F6/E6,"")</f>
        <v/>
      </c>
      <c r="N6" s="12">
        <f>IFERROR(G6/F6,"")</f>
        <v/>
      </c>
      <c r="O6" s="16">
        <f>IFERROR(G6/C6,"")</f>
        <v/>
      </c>
      <c r="P6" s="17">
        <f>IFERROR(C6/G6,"")</f>
        <v/>
      </c>
      <c r="Q6" s="12">
        <f>IFERROR(C6/F6,"")</f>
        <v/>
      </c>
      <c r="R6" s="12">
        <f>IFERROR(C6/H6,"")</f>
        <v/>
      </c>
      <c r="S6" s="17">
        <f>IFERROR(H6/F6,"")</f>
        <v/>
      </c>
      <c r="T6" s="12">
        <f>SUM(T3:T5)</f>
        <v/>
      </c>
      <c r="U6" s="12">
        <f>T6-C6</f>
        <v/>
      </c>
      <c r="V6" s="16">
        <f>IFERROR(1/I6,"")</f>
        <v/>
      </c>
      <c r="W6" s="11" t="inlineStr">
        <is>
          <t>Month total</t>
        </is>
      </c>
    </row>
    <row r="8">
      <c r="A8" s="3" t="inlineStr">
        <is>
          <t>Oct 2026</t>
        </is>
      </c>
      <c r="B8" s="3" t="inlineStr">
        <is>
          <t>Meta ads</t>
        </is>
      </c>
      <c r="C8" s="4" t="n">
        <v>80000</v>
      </c>
      <c r="D8" s="4" t="n">
        <v>1150000</v>
      </c>
      <c r="E8" s="4" t="n">
        <v>15500</v>
      </c>
      <c r="F8" s="4" t="n">
        <v>210</v>
      </c>
      <c r="G8" s="4" t="n">
        <v>305000</v>
      </c>
      <c r="H8" s="4" t="n">
        <v>150</v>
      </c>
      <c r="I8" s="5" t="n">
        <v>0.45</v>
      </c>
      <c r="J8" s="6">
        <f>F8-H8</f>
        <v/>
      </c>
      <c r="K8" s="7">
        <f>IFERROR(E8/D8,"")</f>
        <v/>
      </c>
      <c r="L8" s="8">
        <f>IFERROR(C8/E8,"")</f>
        <v/>
      </c>
      <c r="M8" s="7">
        <f>IFERROR(F8/E8,"")</f>
        <v/>
      </c>
      <c r="N8" s="6">
        <f>IFERROR(G8/F8,"")</f>
        <v/>
      </c>
      <c r="O8" s="9">
        <f>IFERROR(G8/C8,"")</f>
        <v/>
      </c>
      <c r="P8" s="10">
        <f>IFERROR(C8/G8,"")</f>
        <v/>
      </c>
      <c r="Q8" s="6">
        <f>IFERROR(C8/F8,"")</f>
        <v/>
      </c>
      <c r="R8" s="6">
        <f>IFERROR(C8/H8,"")</f>
        <v/>
      </c>
      <c r="S8" s="10">
        <f>IFERROR(H8/F8,"")</f>
        <v/>
      </c>
      <c r="T8" s="6">
        <f>G8*I8</f>
        <v/>
      </c>
      <c r="U8" s="6">
        <f>T8-C8</f>
        <v/>
      </c>
      <c r="V8" s="9">
        <f>IFERROR(1/I8,"")</f>
        <v/>
      </c>
      <c r="W8" s="3" t="inlineStr">
        <is>
          <t>Festive creatives from 1 Oct</t>
        </is>
      </c>
    </row>
    <row r="9">
      <c r="A9" s="3" t="inlineStr">
        <is>
          <t>Oct 2026</t>
        </is>
      </c>
      <c r="B9" s="3" t="inlineStr">
        <is>
          <t>Google ads</t>
        </is>
      </c>
      <c r="C9" s="4" t="n">
        <v>45000</v>
      </c>
      <c r="D9" s="4" t="n">
        <v>320000</v>
      </c>
      <c r="E9" s="4" t="n">
        <v>8600</v>
      </c>
      <c r="F9" s="4" t="n">
        <v>140</v>
      </c>
      <c r="G9" s="4" t="n">
        <v>215000</v>
      </c>
      <c r="H9" s="4" t="n">
        <v>75</v>
      </c>
      <c r="I9" s="5" t="n">
        <v>0.45</v>
      </c>
      <c r="J9" s="6">
        <f>F9-H9</f>
        <v/>
      </c>
      <c r="K9" s="7">
        <f>IFERROR(E9/D9,"")</f>
        <v/>
      </c>
      <c r="L9" s="8">
        <f>IFERROR(C9/E9,"")</f>
        <v/>
      </c>
      <c r="M9" s="7">
        <f>IFERROR(F9/E9,"")</f>
        <v/>
      </c>
      <c r="N9" s="6">
        <f>IFERROR(G9/F9,"")</f>
        <v/>
      </c>
      <c r="O9" s="9">
        <f>IFERROR(G9/C9,"")</f>
        <v/>
      </c>
      <c r="P9" s="10">
        <f>IFERROR(C9/G9,"")</f>
        <v/>
      </c>
      <c r="Q9" s="6">
        <f>IFERROR(C9/F9,"")</f>
        <v/>
      </c>
      <c r="R9" s="6">
        <f>IFERROR(C9/H9,"")</f>
        <v/>
      </c>
      <c r="S9" s="10">
        <f>IFERROR(H9/F9,"")</f>
        <v/>
      </c>
      <c r="T9" s="6">
        <f>G9*I9</f>
        <v/>
      </c>
      <c r="U9" s="6">
        <f>T9-C9</f>
        <v/>
      </c>
      <c r="V9" s="9">
        <f>IFERROR(1/I9,"")</f>
        <v/>
      </c>
      <c r="W9" s="3" t="inlineStr"/>
    </row>
    <row r="10">
      <c r="A10" s="3" t="inlineStr">
        <is>
          <t>Oct 2026</t>
        </is>
      </c>
      <c r="B10" s="3" t="inlineStr">
        <is>
          <t>Amazon ads</t>
        </is>
      </c>
      <c r="C10" s="4" t="n">
        <v>35000</v>
      </c>
      <c r="D10" s="4" t="n">
        <v>450000</v>
      </c>
      <c r="E10" s="4" t="n">
        <v>6800</v>
      </c>
      <c r="F10" s="4" t="n">
        <v>165</v>
      </c>
      <c r="G10" s="4" t="n">
        <v>170000</v>
      </c>
      <c r="H10" s="4" t="n">
        <v>100</v>
      </c>
      <c r="I10" s="5" t="n">
        <v>0.3</v>
      </c>
      <c r="J10" s="6">
        <f>F10-H10</f>
        <v/>
      </c>
      <c r="K10" s="7">
        <f>IFERROR(E10/D10,"")</f>
        <v/>
      </c>
      <c r="L10" s="8">
        <f>IFERROR(C10/E10,"")</f>
        <v/>
      </c>
      <c r="M10" s="7">
        <f>IFERROR(F10/E10,"")</f>
        <v/>
      </c>
      <c r="N10" s="6">
        <f>IFERROR(G10/F10,"")</f>
        <v/>
      </c>
      <c r="O10" s="9">
        <f>IFERROR(G10/C10,"")</f>
        <v/>
      </c>
      <c r="P10" s="10">
        <f>IFERROR(C10/G10,"")</f>
        <v/>
      </c>
      <c r="Q10" s="6">
        <f>IFERROR(C10/F10,"")</f>
        <v/>
      </c>
      <c r="R10" s="6">
        <f>IFERROR(C10/H10,"")</f>
        <v/>
      </c>
      <c r="S10" s="10">
        <f>IFERROR(H10/F10,"")</f>
        <v/>
      </c>
      <c r="T10" s="6">
        <f>G10*I10</f>
        <v/>
      </c>
      <c r="U10" s="6">
        <f>T10-C10</f>
        <v/>
      </c>
      <c r="V10" s="9">
        <f>IFERROR(1/I10,"")</f>
        <v/>
      </c>
      <c r="W10" s="3" t="inlineStr"/>
    </row>
    <row r="11">
      <c r="A11" s="11" t="inlineStr">
        <is>
          <t>Oct 2026</t>
        </is>
      </c>
      <c r="B11" s="11" t="inlineStr">
        <is>
          <t>Total</t>
        </is>
      </c>
      <c r="C11" s="12">
        <f>SUM(C8:C10)</f>
        <v/>
      </c>
      <c r="D11" s="12">
        <f>SUM(D8:D10)</f>
        <v/>
      </c>
      <c r="E11" s="12">
        <f>SUM(E8:E10)</f>
        <v/>
      </c>
      <c r="F11" s="12">
        <f>SUM(F8:F10)</f>
        <v/>
      </c>
      <c r="G11" s="12">
        <f>SUM(G8:G10)</f>
        <v/>
      </c>
      <c r="H11" s="12">
        <f>SUM(H8:H10)</f>
        <v/>
      </c>
      <c r="I11" s="13">
        <f>IFERROR(T11/G11,"")</f>
        <v/>
      </c>
      <c r="J11" s="12">
        <f>F11-H11</f>
        <v/>
      </c>
      <c r="K11" s="14">
        <f>IFERROR(E11/D11,"")</f>
        <v/>
      </c>
      <c r="L11" s="15">
        <f>IFERROR(C11/E11,"")</f>
        <v/>
      </c>
      <c r="M11" s="14">
        <f>IFERROR(F11/E11,"")</f>
        <v/>
      </c>
      <c r="N11" s="12">
        <f>IFERROR(G11/F11,"")</f>
        <v/>
      </c>
      <c r="O11" s="16">
        <f>IFERROR(G11/C11,"")</f>
        <v/>
      </c>
      <c r="P11" s="17">
        <f>IFERROR(C11/G11,"")</f>
        <v/>
      </c>
      <c r="Q11" s="12">
        <f>IFERROR(C11/F11,"")</f>
        <v/>
      </c>
      <c r="R11" s="12">
        <f>IFERROR(C11/H11,"")</f>
        <v/>
      </c>
      <c r="S11" s="17">
        <f>IFERROR(H11/F11,"")</f>
        <v/>
      </c>
      <c r="T11" s="12">
        <f>SUM(T8:T10)</f>
        <v/>
      </c>
      <c r="U11" s="12">
        <f>T11-C11</f>
        <v/>
      </c>
      <c r="V11" s="16">
        <f>IFERROR(1/I11,"")</f>
        <v/>
      </c>
      <c r="W11" s="11" t="inlineStr">
        <is>
          <t>Month total</t>
        </is>
      </c>
    </row>
  </sheetData>
  <mergeCells count="1">
    <mergeCell ref="A1:W1"/>
  </mergeCells>
  <conditionalFormatting sqref="U3:U1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14" customWidth="1" min="4" max="4"/>
    <col width="12" customWidth="1" min="5" max="5"/>
    <col width="16" customWidth="1" min="6" max="6"/>
    <col width="16" customWidth="1" min="7" max="7"/>
    <col width="12" customWidth="1" min="8" max="8"/>
    <col width="18" customWidth="1" min="9" max="9"/>
    <col width="11" customWidth="1" min="10" max="10"/>
    <col width="42" customWidth="1" min="11" max="11"/>
  </cols>
  <sheetData>
    <row r="1">
      <c r="A1" s="1" t="inlineStr">
        <is>
          <t>Example numbers only. Replace the blue input cells with your own data. Amounts in your store currency.</t>
        </is>
      </c>
    </row>
    <row r="2" ht="32" customHeight="1">
      <c r="A2" s="2" t="inlineStr">
        <is>
          <t>Month</t>
        </is>
      </c>
      <c r="B2" s="2" t="inlineStr">
        <is>
          <t>Total ad spend</t>
        </is>
      </c>
      <c r="C2" s="2" t="inlineStr">
        <is>
          <t>Ad-reported revenue</t>
        </is>
      </c>
      <c r="D2" s="2" t="inlineStr">
        <is>
          <t>Store revenue</t>
        </is>
      </c>
      <c r="E2" s="2" t="inlineStr">
        <is>
          <t>Store orders</t>
        </is>
      </c>
      <c r="F2" s="2" t="inlineStr">
        <is>
          <t>Store new customers</t>
        </is>
      </c>
      <c r="G2" s="2" t="inlineStr">
        <is>
          <t>MER (blended ROAS)</t>
        </is>
      </c>
      <c r="H2" s="2" t="inlineStr">
        <is>
          <t>Blended CAC</t>
        </is>
      </c>
      <c r="I2" s="2" t="inlineStr">
        <is>
          <t>Ad spend % of revenue</t>
        </is>
      </c>
      <c r="J2" s="2" t="inlineStr">
        <is>
          <t>Store AOV</t>
        </is>
      </c>
      <c r="K2" s="2" t="inlineStr">
        <is>
          <t>Notes</t>
        </is>
      </c>
    </row>
    <row r="3">
      <c r="A3" s="3" t="inlineStr">
        <is>
          <t>Sep 2026</t>
        </is>
      </c>
      <c r="B3" s="6">
        <f>Channels!C6</f>
        <v/>
      </c>
      <c r="C3" s="6">
        <f>Channels!G6</f>
        <v/>
      </c>
      <c r="D3" s="4" t="n">
        <v>720000</v>
      </c>
      <c r="E3" s="4" t="n">
        <v>520</v>
      </c>
      <c r="F3" s="4" t="n">
        <v>300</v>
      </c>
      <c r="G3" s="9">
        <f>IFERROR(D3/B3,"")</f>
        <v/>
      </c>
      <c r="H3" s="6">
        <f>IFERROR(B3/F3,"")</f>
        <v/>
      </c>
      <c r="I3" s="10">
        <f>IFERROR(B3/D3,"")</f>
        <v/>
      </c>
      <c r="J3" s="6">
        <f>IFERROR(D3/E3,"")</f>
        <v/>
      </c>
      <c r="K3" s="3" t="inlineStr">
        <is>
          <t>Includes organic, email and direct sales</t>
        </is>
      </c>
    </row>
    <row r="4">
      <c r="A4" s="3" t="inlineStr">
        <is>
          <t>Oct 2026</t>
        </is>
      </c>
      <c r="B4" s="6">
        <f>Channels!C11</f>
        <v/>
      </c>
      <c r="C4" s="6">
        <f>Channels!G11</f>
        <v/>
      </c>
      <c r="D4" s="4" t="n">
        <v>910000</v>
      </c>
      <c r="E4" s="4" t="n">
        <v>640</v>
      </c>
      <c r="F4" s="4" t="n">
        <v>370</v>
      </c>
      <c r="G4" s="9">
        <f>IFERROR(D4/B4,"")</f>
        <v/>
      </c>
      <c r="H4" s="6">
        <f>IFERROR(B4/F4,"")</f>
        <v/>
      </c>
      <c r="I4" s="10">
        <f>IFERROR(B4/D4,"")</f>
        <v/>
      </c>
      <c r="J4" s="6">
        <f>IFERROR(D4/E4,"")</f>
        <v/>
      </c>
      <c r="K4" s="3" t="inlineStr">
        <is>
          <t>Festive month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How to use this ads report template</t>
        </is>
      </c>
    </row>
    <row r="2">
      <c r="A2" t="inlineStr"/>
    </row>
    <row r="3">
      <c r="A3" t="inlineStr">
        <is>
          <t>1. Fill one row per channel per month, straight from each ad platform's report for the calendar month.</t>
        </is>
      </c>
    </row>
    <row r="4">
      <c r="A4" t="inlineStr">
        <is>
          <t>2. Revenue and orders are what the platform reports (its own attribution). Note the attribution window in Notes.</t>
        </is>
      </c>
    </row>
    <row r="5">
      <c r="A5" t="inlineStr">
        <is>
          <t>3. New customers: Meta and Google from your store or CRM where possible; Amazon "new-to-brand" orders.</t>
        </is>
      </c>
    </row>
    <row r="6">
      <c r="A6" t="inlineStr">
        <is>
          <t>4. Gross margin %: after product cost, shipping, packaging, payment and marketplace fees, before ads.</t>
        </is>
      </c>
    </row>
    <row r="7">
      <c r="A7" t="inlineStr">
        <is>
          <t>5. Fill the Summary sheet from your store's own reports; MER is the number to trust when channels overlap.</t>
        </is>
      </c>
    </row>
    <row r="8">
      <c r="A8" t="inlineStr">
        <is>
          <t>6. Compare each month with the one before, not with someone else's numbers.</t>
        </is>
      </c>
    </row>
    <row r="9">
      <c r="A9" t="inlineStr"/>
    </row>
    <row r="10">
      <c r="A10" t="inlineStr">
        <is>
          <t>Blue cells are inputs. Black cells are formulas. Total rows recompute ratios from summed totals, never averages.</t>
        </is>
      </c>
    </row>
    <row r="11">
      <c r="A11" t="inlineStr">
        <is>
          <t>Need help reading your numbers? Request a free audit: https://www.magnuspath.com/free-ecommerce-audit/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2026-10-22T11:56:49Z</dcterms:created>
  <dcterms:modified xmlns:dcterms="http://purl.org/dc/terms/" xmlns:xsi="http://www.w3.org/2001/XMLSchema-instance" xsi:type="dcterms:W3CDTF">2026-10-22T11:56:49Z</dcterms:modified>
</cp:coreProperties>
</file>