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Keywords" sheetId="2" state="visible" r:id="rId4"/>
    <sheet name="Niche Summary" sheetId="3" state="visible" r:id="rId5"/>
    <sheet name="Paste Lists" sheetId="4" state="visible" r:id="rId6"/>
  </sheets>
  <definedNames>
    <definedName function="false" hidden="true" localSheetId="1" name="_xlnm._FilterDatabase" vbProcedure="false">Keywords!$A$1:$L$176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Agency-side rows: Semrush Bulk Keyword Analysis, database assumed India (IN), screenshots shared by the user 13 Oct 2026.</t>
        </r>
      </text>
    </comment>
  </commentList>
</comments>
</file>

<file path=xl/sharedStrings.xml><?xml version="1.0" encoding="utf-8"?>
<sst xmlns="http://schemas.openxmlformats.org/spreadsheetml/2006/main" count="1034" uniqueCount="245">
  <si>
    <t xml:space="preserve">Niche Keyword Validation – Semrush Check</t>
  </si>
  <si>
    <t xml:space="preserve">Purpose: compare 4 agency niches on real search volume, CPC and keyword difficulty before committing.</t>
  </si>
  <si>
    <t xml:space="preserve">STEPS</t>
  </si>
  <si>
    <t xml:space="preserve">1. Open Semrush → Keyword Overview → paste a list from the 'Paste Lists' sheet (up to 100 keywords per run).</t>
  </si>
  <si>
    <t xml:space="preserve">2. Set the database shown above each list (IN = India, US = United States). CPC in Semrush is in USD.</t>
  </si>
  <si>
    <t xml:space="preserve">3. Export the results (CSV), or type Volume, CPC and KD % into the YELLOW cells on the 'Keywords' sheet.</t>
  </si>
  <si>
    <t xml:space="preserve">   Easiest: just upload the Semrush CSV exports in the chat and Claude will fill this sheet and analyse it.</t>
  </si>
  <si>
    <t xml:space="preserve">4. The 'Niche Summary' sheet calculates totals, difficulty and an opportunity score automatically.</t>
  </si>
  <si>
    <t xml:space="preserve">LEGEND</t>
  </si>
  <si>
    <t xml:space="preserve">Yellow cells = inputs you fill from Semrush. All other cells are formulas – do not overwrite.</t>
  </si>
  <si>
    <t xml:space="preserve">Agency-side = what business owners search when looking to HIRE an agency (competition for your own website).</t>
  </si>
  <si>
    <t xml:space="preserve">Market-side = what their customers/buyers search (proves the niche's businesses have demand worth paying for).</t>
  </si>
  <si>
    <t xml:space="preserve">Value = Volume × CPC = approximate monthly ad money advertisers pay for that keyword (USD).</t>
  </si>
  <si>
    <t xml:space="preserve">KD % = Semrush Keyword Difficulty: &lt;30 Easy, 30–49 Medium, 50–69 Hard, 70+ Very hard.</t>
  </si>
  <si>
    <t xml:space="preserve">Opportunity Score = Total Value ÷ Avg KD. Higher = more money in the niche relative to how hard it is to rank.</t>
  </si>
  <si>
    <t xml:space="preserve">EXAMPLE ROW (illustrative format only – not real data)</t>
  </si>
  <si>
    <t xml:space="preserve">Niche</t>
  </si>
  <si>
    <t xml:space="preserve">Keyword Type</t>
  </si>
  <si>
    <t xml:space="preserve">Database</t>
  </si>
  <si>
    <t xml:space="preserve">Keyword</t>
  </si>
  <si>
    <t xml:space="preserve">Volume</t>
  </si>
  <si>
    <t xml:space="preserve">CPC (USD)</t>
  </si>
  <si>
    <t xml:space="preserve">KD %</t>
  </si>
  <si>
    <t xml:space="preserve">Intent</t>
  </si>
  <si>
    <t xml:space="preserve">B. Solar &amp; Energy</t>
  </si>
  <si>
    <t xml:space="preserve">Market-side</t>
  </si>
  <si>
    <t xml:space="preserve">IN</t>
  </si>
  <si>
    <t xml:space="preserve">rooftop solar price</t>
  </si>
  <si>
    <t xml:space="preserve">Commercial</t>
  </si>
  <si>
    <t xml:space="preserve">#</t>
  </si>
  <si>
    <t xml:space="preserve">Semrush DB</t>
  </si>
  <si>
    <t xml:space="preserve">Value (Vol×CPC, USD)</t>
  </si>
  <si>
    <t xml:space="preserve">Difficulty</t>
  </si>
  <si>
    <t xml:space="preserve">Notes</t>
  </si>
  <si>
    <t xml:space="preserve">A. B2B Export</t>
  </si>
  <si>
    <t xml:space="preserve">Agency-side</t>
  </si>
  <si>
    <t xml:space="preserve">export marketing agency india</t>
  </si>
  <si>
    <t xml:space="preserve">Semrush n/a (below tracking threshold) – entered as 0</t>
  </si>
  <si>
    <t xml:space="preserve">b2b digital marketing agency india</t>
  </si>
  <si>
    <t xml:space="preserve">digital marketing for manufacturers</t>
  </si>
  <si>
    <t xml:space="preserve">Informational</t>
  </si>
  <si>
    <t xml:space="preserve">digital marketing for exporters</t>
  </si>
  <si>
    <t xml:space="preserve">seo for manufacturers</t>
  </si>
  <si>
    <t xml:space="preserve">b2b seo agency india</t>
  </si>
  <si>
    <t xml:space="preserve">industrial marketing agency</t>
  </si>
  <si>
    <t xml:space="preserve">manufacturing website design</t>
  </si>
  <si>
    <t xml:space="preserve">b2b lead generation company india</t>
  </si>
  <si>
    <t xml:space="preserve">export lead generation</t>
  </si>
  <si>
    <t xml:space="preserve">how to get international buyers</t>
  </si>
  <si>
    <t xml:space="preserve">how to find buyers for export</t>
  </si>
  <si>
    <t xml:space="preserve">how to get export orders</t>
  </si>
  <si>
    <t xml:space="preserve">linkedin marketing for b2b companies</t>
  </si>
  <si>
    <t xml:space="preserve">google ads for manufacturers</t>
  </si>
  <si>
    <t xml:space="preserve">b2b website development company</t>
  </si>
  <si>
    <t xml:space="preserve">industrial seo services</t>
  </si>
  <si>
    <t xml:space="preserve">export business website</t>
  </si>
  <si>
    <t xml:space="preserve">alternative to indiamart</t>
  </si>
  <si>
    <t xml:space="preserve">digital marketing agency for manufacturing companies</t>
  </si>
  <si>
    <t xml:space="preserve">US</t>
  </si>
  <si>
    <t xml:space="preserve">cnc machining services india</t>
  </si>
  <si>
    <t xml:space="preserve">precision machined components manufacturer india</t>
  </si>
  <si>
    <t xml:space="preserve">auto parts manufacturer india</t>
  </si>
  <si>
    <t xml:space="preserve">automotive components suppliers india</t>
  </si>
  <si>
    <t xml:space="preserve">forging manufacturers india</t>
  </si>
  <si>
    <t xml:space="preserve">casting manufacturers india</t>
  </si>
  <si>
    <t xml:space="preserve">industrial pumps manufacturer india</t>
  </si>
  <si>
    <t xml:space="preserve">submersible pump manufacturer india</t>
  </si>
  <si>
    <t xml:space="preserve">electric motor manufacturer india</t>
  </si>
  <si>
    <t xml:space="preserve">pcb assembly india</t>
  </si>
  <si>
    <t xml:space="preserve">electronics manufacturing services india</t>
  </si>
  <si>
    <t xml:space="preserve">contract manufacturing india</t>
  </si>
  <si>
    <t xml:space="preserve">sheet metal fabrication india</t>
  </si>
  <si>
    <t xml:space="preserve">industrial valves manufacturer india</t>
  </si>
  <si>
    <t xml:space="preserve">wind turbine components india</t>
  </si>
  <si>
    <t xml:space="preserve">leather goods manufacturer india</t>
  </si>
  <si>
    <t xml:space="preserve">leather bags manufacturer india</t>
  </si>
  <si>
    <t xml:space="preserve">t shirt manufacturer india</t>
  </si>
  <si>
    <t xml:space="preserve">private label clothing manufacturer india</t>
  </si>
  <si>
    <t xml:space="preserve">organic cotton t shirt manufacturer</t>
  </si>
  <si>
    <t xml:space="preserve">knitwear manufacturer india</t>
  </si>
  <si>
    <t xml:space="preserve">home textiles manufacturer india</t>
  </si>
  <si>
    <t xml:space="preserve">towel manufacturer india</t>
  </si>
  <si>
    <t xml:space="preserve">spice exporters india</t>
  </si>
  <si>
    <t xml:space="preserve">coconut products exporter india</t>
  </si>
  <si>
    <t xml:space="preserve">coir products manufacturer</t>
  </si>
  <si>
    <t xml:space="preserve">rubber products manufacturer india</t>
  </si>
  <si>
    <t xml:space="preserve">engineering components sourcing india</t>
  </si>
  <si>
    <t xml:space="preserve">outsourcing manufacturing to india</t>
  </si>
  <si>
    <t xml:space="preserve">china plus one sourcing india</t>
  </si>
  <si>
    <t xml:space="preserve">solar marketing agency</t>
  </si>
  <si>
    <t xml:space="preserve">digital marketing for solar companies</t>
  </si>
  <si>
    <t xml:space="preserve">solar lead generation</t>
  </si>
  <si>
    <t xml:space="preserve">solar leads india</t>
  </si>
  <si>
    <t xml:space="preserve">seo for solar companies</t>
  </si>
  <si>
    <t xml:space="preserve">solar company website design</t>
  </si>
  <si>
    <t xml:space="preserve">google ads for solar companies</t>
  </si>
  <si>
    <t xml:space="preserve">facebook ads for solar</t>
  </si>
  <si>
    <t xml:space="preserve">how to get solar leads</t>
  </si>
  <si>
    <t xml:space="preserve">solar installer marketing</t>
  </si>
  <si>
    <t xml:space="preserve">solar epc marketing</t>
  </si>
  <si>
    <t xml:space="preserve">ev charger business marketing</t>
  </si>
  <si>
    <t xml:space="preserve">solar business ideas india</t>
  </si>
  <si>
    <t xml:space="preserve">solar dealer marketing ideas</t>
  </si>
  <si>
    <t xml:space="preserve">solar crm software india</t>
  </si>
  <si>
    <t xml:space="preserve">rooftop solar</t>
  </si>
  <si>
    <t xml:space="preserve">solar panel price in chennai</t>
  </si>
  <si>
    <t xml:space="preserve">solar panel installation chennai</t>
  </si>
  <si>
    <t xml:space="preserve">rooftop solar chennai</t>
  </si>
  <si>
    <t xml:space="preserve">solar panel coimbatore</t>
  </si>
  <si>
    <t xml:space="preserve">solar companies in chennai</t>
  </si>
  <si>
    <t xml:space="preserve">solar companies in coimbatore</t>
  </si>
  <si>
    <t xml:space="preserve">solar subsidy tamil nadu</t>
  </si>
  <si>
    <t xml:space="preserve">pm surya ghar</t>
  </si>
  <si>
    <t xml:space="preserve">pm surya ghar yojana apply</t>
  </si>
  <si>
    <t xml:space="preserve">pm surya ghar subsidy</t>
  </si>
  <si>
    <t xml:space="preserve">3kw solar system price</t>
  </si>
  <si>
    <t xml:space="preserve">5kw solar system price</t>
  </si>
  <si>
    <t xml:space="preserve">10kw solar system price</t>
  </si>
  <si>
    <t xml:space="preserve">on grid solar system price</t>
  </si>
  <si>
    <t xml:space="preserve">solar panel for home price</t>
  </si>
  <si>
    <t xml:space="preserve">solar inverter price</t>
  </si>
  <si>
    <t xml:space="preserve">solar battery price</t>
  </si>
  <si>
    <t xml:space="preserve">solar water heater price</t>
  </si>
  <si>
    <t xml:space="preserve">solar power plant for factory</t>
  </si>
  <si>
    <t xml:space="preserve">commercial solar installation</t>
  </si>
  <si>
    <t xml:space="preserve">industrial rooftop solar</t>
  </si>
  <si>
    <t xml:space="preserve">open access solar tamil nadu</t>
  </si>
  <si>
    <t xml:space="preserve">solar epc companies in india</t>
  </si>
  <si>
    <t xml:space="preserve">solar net metering tamil nadu</t>
  </si>
  <si>
    <t xml:space="preserve">tangedco solar</t>
  </si>
  <si>
    <t xml:space="preserve">home battery storage india</t>
  </si>
  <si>
    <t xml:space="preserve">ev charger installation chennai</t>
  </si>
  <si>
    <t xml:space="preserve">ev charging station franchise</t>
  </si>
  <si>
    <t xml:space="preserve">solar panel cleaning service</t>
  </si>
  <si>
    <t xml:space="preserve">solar street light price</t>
  </si>
  <si>
    <t xml:space="preserve">solar pump price</t>
  </si>
  <si>
    <t xml:space="preserve">pm kusum yojana</t>
  </si>
  <si>
    <t xml:space="preserve">solar amc service</t>
  </si>
  <si>
    <t xml:space="preserve">C. Cross-border E-com</t>
  </si>
  <si>
    <t xml:space="preserve">amazon global selling</t>
  </si>
  <si>
    <t xml:space="preserve">Transactional</t>
  </si>
  <si>
    <t xml:space="preserve">amazon global selling india</t>
  </si>
  <si>
    <t xml:space="preserve">how to sell on amazon usa from india</t>
  </si>
  <si>
    <t xml:space="preserve">sell on amazon us from india</t>
  </si>
  <si>
    <t xml:space="preserve">etsy seller india</t>
  </si>
  <si>
    <t xml:space="preserve">how to sell on etsy from india</t>
  </si>
  <si>
    <t xml:space="preserve">shopify international store india</t>
  </si>
  <si>
    <t xml:space="preserve">ecommerce export from india</t>
  </si>
  <si>
    <t xml:space="preserve">cross border ecommerce india</t>
  </si>
  <si>
    <t xml:space="preserve">amazon account management services</t>
  </si>
  <si>
    <t xml:space="preserve">amazon ppc agency</t>
  </si>
  <si>
    <t xml:space="preserve">amazon listing optimization service</t>
  </si>
  <si>
    <t xml:space="preserve">walmart marketplace seller india</t>
  </si>
  <si>
    <t xml:space="preserve">sell on ebay from india</t>
  </si>
  <si>
    <t xml:space="preserve">ecommerce export business</t>
  </si>
  <si>
    <t xml:space="preserve">amazon global selling consultant</t>
  </si>
  <si>
    <t xml:space="preserve">how to export products from india online</t>
  </si>
  <si>
    <t xml:space="preserve">amazon fba from india</t>
  </si>
  <si>
    <t xml:space="preserve">noon seller from india</t>
  </si>
  <si>
    <t xml:space="preserve">sell on amazon uae from india</t>
  </si>
  <si>
    <t xml:space="preserve">kanchipuram silk saree</t>
  </si>
  <si>
    <t xml:space="preserve">kanjeevaram saree online usa</t>
  </si>
  <si>
    <t xml:space="preserve">silk sarees online</t>
  </si>
  <si>
    <t xml:space="preserve">indian sarees online usa</t>
  </si>
  <si>
    <t xml:space="preserve">indian ethnic wear online usa</t>
  </si>
  <si>
    <t xml:space="preserve">indian jewelry online</t>
  </si>
  <si>
    <t xml:space="preserve">temple jewelry</t>
  </si>
  <si>
    <t xml:space="preserve">indian grocery online usa</t>
  </si>
  <si>
    <t xml:space="preserve">indian snacks online</t>
  </si>
  <si>
    <t xml:space="preserve">south indian filter coffee</t>
  </si>
  <si>
    <t xml:space="preserve">filter coffee powder</t>
  </si>
  <si>
    <t xml:space="preserve">indian spices online</t>
  </si>
  <si>
    <t xml:space="preserve">masala online usa</t>
  </si>
  <si>
    <t xml:space="preserve">ayurvedic products online</t>
  </si>
  <si>
    <t xml:space="preserve">ayurvedic hair oil</t>
  </si>
  <si>
    <t xml:space="preserve">herbal hair oil</t>
  </si>
  <si>
    <t xml:space="preserve">organic cotton t shirts</t>
  </si>
  <si>
    <t xml:space="preserve">cotton kurtis online</t>
  </si>
  <si>
    <t xml:space="preserve">brass pooja items</t>
  </si>
  <si>
    <t xml:space="preserve">brass lamp</t>
  </si>
  <si>
    <t xml:space="preserve">copper water bottle</t>
  </si>
  <si>
    <t xml:space="preserve">tanjore painting</t>
  </si>
  <si>
    <t xml:space="preserve">handloom cotton saree</t>
  </si>
  <si>
    <t xml:space="preserve">banana chips online</t>
  </si>
  <si>
    <t xml:space="preserve">millet snacks</t>
  </si>
  <si>
    <t xml:space="preserve">murukku online</t>
  </si>
  <si>
    <t xml:space="preserve">indian sweets online usa</t>
  </si>
  <si>
    <t xml:space="preserve">coconut oil cold pressed</t>
  </si>
  <si>
    <t xml:space="preserve">wooden toys india</t>
  </si>
  <si>
    <t xml:space="preserve">indian gifts online usa</t>
  </si>
  <si>
    <t xml:space="preserve">F. E-com Agency (baseline)</t>
  </si>
  <si>
    <t xml:space="preserve">ecommerce website development company</t>
  </si>
  <si>
    <t xml:space="preserve">ecommerce website development chennai</t>
  </si>
  <si>
    <t xml:space="preserve">shopify development company india</t>
  </si>
  <si>
    <t xml:space="preserve">shopify experts india</t>
  </si>
  <si>
    <t xml:space="preserve">shopify website development chennai</t>
  </si>
  <si>
    <t xml:space="preserve">woocommerce development company</t>
  </si>
  <si>
    <t xml:space="preserve">ecommerce seo agency</t>
  </si>
  <si>
    <t xml:space="preserve">ecommerce seo services india</t>
  </si>
  <si>
    <t xml:space="preserve">ecommerce marketing agency</t>
  </si>
  <si>
    <t xml:space="preserve">ecommerce marketing agency india</t>
  </si>
  <si>
    <t xml:space="preserve">d2c marketing agency</t>
  </si>
  <si>
    <t xml:space="preserve">d2c agency india</t>
  </si>
  <si>
    <t xml:space="preserve">performance marketing agency india</t>
  </si>
  <si>
    <t xml:space="preserve">amazon advertising agency india</t>
  </si>
  <si>
    <t xml:space="preserve">flipkart ads management</t>
  </si>
  <si>
    <t xml:space="preserve">flipkart account management services</t>
  </si>
  <si>
    <t xml:space="preserve">blinkit ads</t>
  </si>
  <si>
    <t xml:space="preserve">quick commerce marketing agency</t>
  </si>
  <si>
    <t xml:space="preserve">digital marketing agency chennai</t>
  </si>
  <si>
    <t xml:space="preserve">seo company in chennai</t>
  </si>
  <si>
    <t xml:space="preserve">google ads agency chennai</t>
  </si>
  <si>
    <t xml:space="preserve">meta ads agency india</t>
  </si>
  <si>
    <t xml:space="preserve">ecommerce website cost in india</t>
  </si>
  <si>
    <t xml:space="preserve">shopify store setup service</t>
  </si>
  <si>
    <t xml:space="preserve">Navigational</t>
  </si>
  <si>
    <t xml:space="preserve">amazon seller account management chennai</t>
  </si>
  <si>
    <t xml:space="preserve">Niche Summary – auto-calculated from the Keywords sheet</t>
  </si>
  <si>
    <t xml:space="preserve">Fill the yellow cells on 'Keywords'; everything here updates automatically. Blank until data is entered.</t>
  </si>
  <si>
    <t xml:space="preserve">Keywords listed</t>
  </si>
  <si>
    <t xml:space="preserve">Keywords filled</t>
  </si>
  <si>
    <t xml:space="preserve">Total volume</t>
  </si>
  <si>
    <t xml:space="preserve">Agency-side volume</t>
  </si>
  <si>
    <t xml:space="preserve">Market-side volume</t>
  </si>
  <si>
    <t xml:space="preserve">Weighted avg CPC (USD)</t>
  </si>
  <si>
    <t xml:space="preserve">Avg KD % (all)</t>
  </si>
  <si>
    <t xml:space="preserve">Avg KD % (agency-side)</t>
  </si>
  <si>
    <t xml:space="preserve">Total value (USD/mo)</t>
  </si>
  <si>
    <t xml:space="preserve">Opportunity score</t>
  </si>
  <si>
    <t xml:space="preserve">Rank</t>
  </si>
  <si>
    <t xml:space="preserve">How to read it:</t>
  </si>
  <si>
    <t xml:space="preserve">• Market-side volume + CPC high → the niche's businesses have money and real customer demand.</t>
  </si>
  <si>
    <t xml:space="preserve">• Agency-side KD low → few agencies compete for that niche on Google, so your own site can rank faster (the 'untouched' test).</t>
  </si>
  <si>
    <t xml:space="preserve">• Opportunity score = Total value ÷ Avg KD. Compare niches against the F baseline (general e-commerce agency).</t>
  </si>
  <si>
    <t xml:space="preserve">• Sanity rule: a niche wins only if it also passes the landing-page ad test and 20 owner phone calls (Steps 2–4 of the plan).</t>
  </si>
  <si>
    <t xml:space="preserve">Copy one column at a time into Semrush Keyword Overview (bulk). Set the database shown in row 3.</t>
  </si>
  <si>
    <t xml:space="preserve">A. B2B Export – Agency-side</t>
  </si>
  <si>
    <t xml:space="preserve">A. B2B Export – Market-side</t>
  </si>
  <si>
    <t xml:space="preserve">B. Solar &amp; Energy – Agency-side</t>
  </si>
  <si>
    <t xml:space="preserve">B. Solar &amp; Energy – Market-side</t>
  </si>
  <si>
    <t xml:space="preserve">C. Cross-border E-com – Agency-side</t>
  </si>
  <si>
    <t xml:space="preserve">C. Cross-border E-com – Market-side</t>
  </si>
  <si>
    <t xml:space="preserve">F. E-com Agency (baseline) – Agency-side</t>
  </si>
  <si>
    <t xml:space="preserve">Semrush database: IN</t>
  </si>
  <si>
    <t xml:space="preserve">Semrush database: US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</si>
</sst>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\$0.00"/>
    <numFmt numFmtId="167" formatCode="0"/>
    <numFmt numFmtId="168" formatCode="\$#,##0"/>
    <numFmt numFmtId="169" formatCode="#,##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b val="true"/>
      <sz val="13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16"/>
    <col collapsed="false" customWidth="true" hidden="false" outlineLevel="0" max="4" min="4" style="1" width="24"/>
    <col collapsed="false" customWidth="true" hidden="false" outlineLevel="0" max="8" min="5" style="1" width="16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/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5" t="s">
        <v>6</v>
      </c>
    </row>
    <row r="9" customFormat="false" ht="15" hidden="false" customHeight="true" outlineLevel="0" collapsed="false">
      <c r="A9" s="3" t="s">
        <v>7</v>
      </c>
    </row>
    <row r="10" customFormat="false" ht="15" hidden="false" customHeight="true" outlineLevel="0" collapsed="false">
      <c r="A10" s="3"/>
    </row>
    <row r="11" customFormat="false" ht="15" hidden="false" customHeight="true" outlineLevel="0" collapsed="false">
      <c r="A11" s="4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3" t="s">
        <v>12</v>
      </c>
    </row>
    <row r="16" customFormat="false" ht="15" hidden="false" customHeight="true" outlineLevel="0" collapsed="false">
      <c r="A16" s="3" t="s">
        <v>13</v>
      </c>
    </row>
    <row r="17" customFormat="false" ht="15" hidden="false" customHeight="true" outlineLevel="0" collapsed="false">
      <c r="A17" s="3" t="s">
        <v>14</v>
      </c>
    </row>
    <row r="18" customFormat="false" ht="15" hidden="false" customHeight="true" outlineLevel="0" collapsed="false">
      <c r="A18" s="3"/>
    </row>
    <row r="19" customFormat="false" ht="15" hidden="false" customHeight="true" outlineLevel="0" collapsed="false">
      <c r="A19" s="4" t="s">
        <v>15</v>
      </c>
    </row>
    <row r="20" customFormat="false" ht="15" hidden="false" customHeight="true" outlineLevel="0" collapsed="false">
      <c r="A20" s="6" t="s">
        <v>16</v>
      </c>
      <c r="B20" s="6" t="s">
        <v>17</v>
      </c>
      <c r="C20" s="6" t="s">
        <v>18</v>
      </c>
      <c r="D20" s="6" t="s">
        <v>19</v>
      </c>
      <c r="E20" s="6" t="s">
        <v>20</v>
      </c>
      <c r="F20" s="6" t="s">
        <v>21</v>
      </c>
      <c r="G20" s="6" t="s">
        <v>22</v>
      </c>
      <c r="H20" s="6" t="s">
        <v>23</v>
      </c>
    </row>
    <row r="21" customFormat="false" ht="15" hidden="false" customHeight="true" outlineLevel="0" collapsed="false">
      <c r="A21" s="7" t="s">
        <v>24</v>
      </c>
      <c r="B21" s="7" t="s">
        <v>25</v>
      </c>
      <c r="C21" s="7" t="s">
        <v>26</v>
      </c>
      <c r="D21" s="7" t="s">
        <v>27</v>
      </c>
      <c r="E21" s="7" t="n">
        <v>2400</v>
      </c>
      <c r="F21" s="7" t="n">
        <v>0.45</v>
      </c>
      <c r="G21" s="7" t="n">
        <v>28</v>
      </c>
      <c r="H21" s="7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4"/>
    <col collapsed="false" customWidth="true" hidden="false" outlineLevel="0" max="3" min="3" style="1" width="14"/>
    <col collapsed="false" customWidth="true" hidden="false" outlineLevel="0" max="4" min="4" style="1" width="11"/>
    <col collapsed="false" customWidth="true" hidden="false" outlineLevel="0" max="5" min="5" style="1" width="46"/>
    <col collapsed="false" customWidth="true" hidden="false" outlineLevel="0" max="7" min="6" style="1" width="11"/>
    <col collapsed="false" customWidth="true" hidden="false" outlineLevel="0" max="8" min="8" style="1" width="8"/>
    <col collapsed="false" customWidth="true" hidden="false" outlineLevel="0" max="9" min="9" style="1" width="14"/>
    <col collapsed="false" customWidth="true" hidden="false" outlineLevel="0" max="10" min="10" style="1" width="16"/>
    <col collapsed="false" customWidth="true" hidden="false" outlineLevel="0" max="11" min="11" style="1" width="11"/>
    <col collapsed="false" customWidth="true" hidden="false" outlineLevel="0" max="12" min="12" style="1" width="28"/>
  </cols>
  <sheetData>
    <row r="1" customFormat="false" ht="30" hidden="false" customHeight="true" outlineLevel="0" collapsed="false">
      <c r="A1" s="8" t="s">
        <v>29</v>
      </c>
      <c r="B1" s="8" t="s">
        <v>16</v>
      </c>
      <c r="C1" s="8" t="s">
        <v>17</v>
      </c>
      <c r="D1" s="8" t="s">
        <v>30</v>
      </c>
      <c r="E1" s="8" t="s">
        <v>19</v>
      </c>
      <c r="F1" s="8" t="s">
        <v>20</v>
      </c>
      <c r="G1" s="8" t="s">
        <v>21</v>
      </c>
      <c r="H1" s="8" t="s">
        <v>22</v>
      </c>
      <c r="I1" s="8" t="s">
        <v>23</v>
      </c>
      <c r="J1" s="8" t="s">
        <v>31</v>
      </c>
      <c r="K1" s="8" t="s">
        <v>32</v>
      </c>
      <c r="L1" s="8" t="s">
        <v>33</v>
      </c>
    </row>
    <row r="2" customFormat="false" ht="15" hidden="false" customHeight="true" outlineLevel="0" collapsed="false">
      <c r="A2" s="9" t="n">
        <v>1</v>
      </c>
      <c r="B2" s="9" t="s">
        <v>34</v>
      </c>
      <c r="C2" s="9" t="s">
        <v>35</v>
      </c>
      <c r="D2" s="9" t="s">
        <v>26</v>
      </c>
      <c r="E2" s="9" t="s">
        <v>36</v>
      </c>
      <c r="F2" s="10" t="n">
        <v>0</v>
      </c>
      <c r="G2" s="11" t="n">
        <v>0</v>
      </c>
      <c r="H2" s="12" t="n">
        <v>10</v>
      </c>
      <c r="I2" s="13"/>
      <c r="J2" s="14" t="n">
        <f aca="false">IF(AND(ISNUMBER(F2),ISNUMBER(G2)),F2*G2,"")</f>
        <v>0</v>
      </c>
      <c r="K2" s="9" t="str">
        <f aca="false">IF(H2="","",IF(H2&lt;30,"Easy",IF(H2&lt;50,"Medium",IF(H2&lt;70,"Hard","Very hard"))))</f>
        <v>Easy</v>
      </c>
      <c r="L2" s="9" t="s">
        <v>37</v>
      </c>
    </row>
    <row r="3" customFormat="false" ht="15" hidden="false" customHeight="true" outlineLevel="0" collapsed="false">
      <c r="A3" s="9" t="n">
        <v>2</v>
      </c>
      <c r="B3" s="9" t="s">
        <v>34</v>
      </c>
      <c r="C3" s="9" t="s">
        <v>35</v>
      </c>
      <c r="D3" s="9" t="s">
        <v>26</v>
      </c>
      <c r="E3" s="9" t="s">
        <v>38</v>
      </c>
      <c r="F3" s="10" t="n">
        <v>90</v>
      </c>
      <c r="G3" s="11" t="n">
        <v>0.67</v>
      </c>
      <c r="H3" s="12" t="n">
        <v>24</v>
      </c>
      <c r="I3" s="13" t="s">
        <v>28</v>
      </c>
      <c r="J3" s="14" t="n">
        <f aca="false">IF(AND(ISNUMBER(F3),ISNUMBER(G3)),F3*G3,"")</f>
        <v>60.3</v>
      </c>
      <c r="K3" s="9" t="str">
        <f aca="false">IF(H3="","",IF(H3&lt;30,"Easy",IF(H3&lt;50,"Medium",IF(H3&lt;70,"Hard","Very hard"))))</f>
        <v>Easy</v>
      </c>
      <c r="L3" s="9"/>
    </row>
    <row r="4" customFormat="false" ht="15" hidden="false" customHeight="true" outlineLevel="0" collapsed="false">
      <c r="A4" s="9" t="n">
        <v>3</v>
      </c>
      <c r="B4" s="9" t="s">
        <v>34</v>
      </c>
      <c r="C4" s="9" t="s">
        <v>35</v>
      </c>
      <c r="D4" s="9" t="s">
        <v>26</v>
      </c>
      <c r="E4" s="9" t="s">
        <v>39</v>
      </c>
      <c r="F4" s="10" t="n">
        <v>170</v>
      </c>
      <c r="G4" s="11" t="n">
        <v>0.92</v>
      </c>
      <c r="H4" s="12" t="n">
        <v>23</v>
      </c>
      <c r="I4" s="13" t="s">
        <v>40</v>
      </c>
      <c r="J4" s="14" t="n">
        <f aca="false">IF(AND(ISNUMBER(F4),ISNUMBER(G4)),F4*G4,"")</f>
        <v>156.4</v>
      </c>
      <c r="K4" s="9" t="str">
        <f aca="false">IF(H4="","",IF(H4&lt;30,"Easy",IF(H4&lt;50,"Medium",IF(H4&lt;70,"Hard","Very hard"))))</f>
        <v>Easy</v>
      </c>
      <c r="L4" s="9"/>
    </row>
    <row r="5" customFormat="false" ht="15" hidden="false" customHeight="true" outlineLevel="0" collapsed="false">
      <c r="A5" s="9" t="n">
        <v>4</v>
      </c>
      <c r="B5" s="9" t="s">
        <v>34</v>
      </c>
      <c r="C5" s="9" t="s">
        <v>35</v>
      </c>
      <c r="D5" s="9" t="s">
        <v>26</v>
      </c>
      <c r="E5" s="9" t="s">
        <v>41</v>
      </c>
      <c r="F5" s="10" t="n">
        <v>20</v>
      </c>
      <c r="G5" s="11" t="n">
        <v>0</v>
      </c>
      <c r="H5" s="12" t="n">
        <v>13</v>
      </c>
      <c r="I5" s="13" t="s">
        <v>40</v>
      </c>
      <c r="J5" s="14" t="n">
        <f aca="false">IF(AND(ISNUMBER(F5),ISNUMBER(G5)),F5*G5,"")</f>
        <v>0</v>
      </c>
      <c r="K5" s="9" t="str">
        <f aca="false">IF(H5="","",IF(H5&lt;30,"Easy",IF(H5&lt;50,"Medium",IF(H5&lt;70,"Hard","Very hard"))))</f>
        <v>Easy</v>
      </c>
      <c r="L5" s="9"/>
    </row>
    <row r="6" customFormat="false" ht="15" hidden="false" customHeight="true" outlineLevel="0" collapsed="false">
      <c r="A6" s="9" t="n">
        <v>5</v>
      </c>
      <c r="B6" s="9" t="s">
        <v>34</v>
      </c>
      <c r="C6" s="9" t="s">
        <v>35</v>
      </c>
      <c r="D6" s="9" t="s">
        <v>26</v>
      </c>
      <c r="E6" s="9" t="s">
        <v>42</v>
      </c>
      <c r="F6" s="10" t="n">
        <v>260</v>
      </c>
      <c r="G6" s="11" t="n">
        <v>2.04</v>
      </c>
      <c r="H6" s="12" t="n">
        <v>36</v>
      </c>
      <c r="I6" s="13" t="s">
        <v>40</v>
      </c>
      <c r="J6" s="14" t="n">
        <f aca="false">IF(AND(ISNUMBER(F6),ISNUMBER(G6)),F6*G6,"")</f>
        <v>530.4</v>
      </c>
      <c r="K6" s="9" t="str">
        <f aca="false">IF(H6="","",IF(H6&lt;30,"Easy",IF(H6&lt;50,"Medium",IF(H6&lt;70,"Hard","Very hard"))))</f>
        <v>Medium</v>
      </c>
      <c r="L6" s="9"/>
    </row>
    <row r="7" customFormat="false" ht="15" hidden="false" customHeight="true" outlineLevel="0" collapsed="false">
      <c r="A7" s="9" t="n">
        <v>6</v>
      </c>
      <c r="B7" s="9" t="s">
        <v>34</v>
      </c>
      <c r="C7" s="9" t="s">
        <v>35</v>
      </c>
      <c r="D7" s="9" t="s">
        <v>26</v>
      </c>
      <c r="E7" s="9" t="s">
        <v>43</v>
      </c>
      <c r="F7" s="10" t="n">
        <v>0</v>
      </c>
      <c r="G7" s="11" t="n">
        <v>0</v>
      </c>
      <c r="H7" s="12" t="n">
        <v>7</v>
      </c>
      <c r="I7" s="13" t="s">
        <v>28</v>
      </c>
      <c r="J7" s="14" t="n">
        <f aca="false">IF(AND(ISNUMBER(F7),ISNUMBER(G7)),F7*G7,"")</f>
        <v>0</v>
      </c>
      <c r="K7" s="9" t="str">
        <f aca="false">IF(H7="","",IF(H7&lt;30,"Easy",IF(H7&lt;50,"Medium",IF(H7&lt;70,"Hard","Very hard"))))</f>
        <v>Easy</v>
      </c>
      <c r="L7" s="9"/>
    </row>
    <row r="8" customFormat="false" ht="15" hidden="false" customHeight="true" outlineLevel="0" collapsed="false">
      <c r="A8" s="9" t="n">
        <v>7</v>
      </c>
      <c r="B8" s="9" t="s">
        <v>34</v>
      </c>
      <c r="C8" s="9" t="s">
        <v>35</v>
      </c>
      <c r="D8" s="9" t="s">
        <v>26</v>
      </c>
      <c r="E8" s="9" t="s">
        <v>44</v>
      </c>
      <c r="F8" s="10" t="n">
        <v>20</v>
      </c>
      <c r="G8" s="11" t="n">
        <v>0.49</v>
      </c>
      <c r="H8" s="12" t="n">
        <v>9</v>
      </c>
      <c r="I8" s="13" t="s">
        <v>28</v>
      </c>
      <c r="J8" s="14" t="n">
        <f aca="false">IF(AND(ISNUMBER(F8),ISNUMBER(G8)),F8*G8,"")</f>
        <v>9.8</v>
      </c>
      <c r="K8" s="9" t="str">
        <f aca="false">IF(H8="","",IF(H8&lt;30,"Easy",IF(H8&lt;50,"Medium",IF(H8&lt;70,"Hard","Very hard"))))</f>
        <v>Easy</v>
      </c>
      <c r="L8" s="9"/>
    </row>
    <row r="9" customFormat="false" ht="15" hidden="false" customHeight="true" outlineLevel="0" collapsed="false">
      <c r="A9" s="9" t="n">
        <v>8</v>
      </c>
      <c r="B9" s="9" t="s">
        <v>34</v>
      </c>
      <c r="C9" s="9" t="s">
        <v>35</v>
      </c>
      <c r="D9" s="9" t="s">
        <v>26</v>
      </c>
      <c r="E9" s="9" t="s">
        <v>45</v>
      </c>
      <c r="F9" s="10" t="n">
        <v>30</v>
      </c>
      <c r="G9" s="11" t="n">
        <v>0.39</v>
      </c>
      <c r="H9" s="12" t="n">
        <v>18</v>
      </c>
      <c r="I9" s="13" t="s">
        <v>28</v>
      </c>
      <c r="J9" s="14" t="n">
        <f aca="false">IF(AND(ISNUMBER(F9),ISNUMBER(G9)),F9*G9,"")</f>
        <v>11.7</v>
      </c>
      <c r="K9" s="9" t="str">
        <f aca="false">IF(H9="","",IF(H9&lt;30,"Easy",IF(H9&lt;50,"Medium",IF(H9&lt;70,"Hard","Very hard"))))</f>
        <v>Easy</v>
      </c>
      <c r="L9" s="9"/>
    </row>
    <row r="10" customFormat="false" ht="15" hidden="false" customHeight="true" outlineLevel="0" collapsed="false">
      <c r="A10" s="9" t="n">
        <v>9</v>
      </c>
      <c r="B10" s="9" t="s">
        <v>34</v>
      </c>
      <c r="C10" s="9" t="s">
        <v>35</v>
      </c>
      <c r="D10" s="9" t="s">
        <v>26</v>
      </c>
      <c r="E10" s="9" t="s">
        <v>46</v>
      </c>
      <c r="F10" s="10" t="n">
        <v>210</v>
      </c>
      <c r="G10" s="11" t="n">
        <v>0.87</v>
      </c>
      <c r="H10" s="12" t="n">
        <v>16</v>
      </c>
      <c r="I10" s="13" t="s">
        <v>40</v>
      </c>
      <c r="J10" s="14" t="n">
        <f aca="false">IF(AND(ISNUMBER(F10),ISNUMBER(G10)),F10*G10,"")</f>
        <v>182.7</v>
      </c>
      <c r="K10" s="9" t="str">
        <f aca="false">IF(H10="","",IF(H10&lt;30,"Easy",IF(H10&lt;50,"Medium",IF(H10&lt;70,"Hard","Very hard"))))</f>
        <v>Easy</v>
      </c>
      <c r="L10" s="9"/>
    </row>
    <row r="11" customFormat="false" ht="15" hidden="false" customHeight="true" outlineLevel="0" collapsed="false">
      <c r="A11" s="9" t="n">
        <v>10</v>
      </c>
      <c r="B11" s="9" t="s">
        <v>34</v>
      </c>
      <c r="C11" s="9" t="s">
        <v>35</v>
      </c>
      <c r="D11" s="9" t="s">
        <v>26</v>
      </c>
      <c r="E11" s="9" t="s">
        <v>47</v>
      </c>
      <c r="F11" s="10" t="n">
        <v>30</v>
      </c>
      <c r="G11" s="11" t="n">
        <v>0.57</v>
      </c>
      <c r="H11" s="12" t="n">
        <v>5</v>
      </c>
      <c r="I11" s="13" t="s">
        <v>40</v>
      </c>
      <c r="J11" s="14" t="n">
        <f aca="false">IF(AND(ISNUMBER(F11),ISNUMBER(G11)),F11*G11,"")</f>
        <v>17.1</v>
      </c>
      <c r="K11" s="9" t="str">
        <f aca="false">IF(H11="","",IF(H11&lt;30,"Easy",IF(H11&lt;50,"Medium",IF(H11&lt;70,"Hard","Very hard"))))</f>
        <v>Easy</v>
      </c>
      <c r="L11" s="9"/>
    </row>
    <row r="12" customFormat="false" ht="15" hidden="false" customHeight="true" outlineLevel="0" collapsed="false">
      <c r="A12" s="9" t="n">
        <v>11</v>
      </c>
      <c r="B12" s="9" t="s">
        <v>34</v>
      </c>
      <c r="C12" s="9" t="s">
        <v>35</v>
      </c>
      <c r="D12" s="9" t="s">
        <v>26</v>
      </c>
      <c r="E12" s="9" t="s">
        <v>48</v>
      </c>
      <c r="F12" s="10" t="n">
        <v>20</v>
      </c>
      <c r="G12" s="11" t="n">
        <v>0.24</v>
      </c>
      <c r="H12" s="12" t="n">
        <v>19</v>
      </c>
      <c r="I12" s="13" t="s">
        <v>40</v>
      </c>
      <c r="J12" s="14" t="n">
        <f aca="false">IF(AND(ISNUMBER(F12),ISNUMBER(G12)),F12*G12,"")</f>
        <v>4.8</v>
      </c>
      <c r="K12" s="9" t="str">
        <f aca="false">IF(H12="","",IF(H12&lt;30,"Easy",IF(H12&lt;50,"Medium",IF(H12&lt;70,"Hard","Very hard"))))</f>
        <v>Easy</v>
      </c>
      <c r="L12" s="9"/>
    </row>
    <row r="13" customFormat="false" ht="15" hidden="false" customHeight="true" outlineLevel="0" collapsed="false">
      <c r="A13" s="9" t="n">
        <v>12</v>
      </c>
      <c r="B13" s="9" t="s">
        <v>34</v>
      </c>
      <c r="C13" s="9" t="s">
        <v>35</v>
      </c>
      <c r="D13" s="9" t="s">
        <v>26</v>
      </c>
      <c r="E13" s="9" t="s">
        <v>49</v>
      </c>
      <c r="F13" s="10" t="n">
        <v>390</v>
      </c>
      <c r="G13" s="11" t="n">
        <v>0.22</v>
      </c>
      <c r="H13" s="12" t="n">
        <v>15</v>
      </c>
      <c r="I13" s="13" t="s">
        <v>40</v>
      </c>
      <c r="J13" s="14" t="n">
        <f aca="false">IF(AND(ISNUMBER(F13),ISNUMBER(G13)),F13*G13,"")</f>
        <v>85.8</v>
      </c>
      <c r="K13" s="9" t="str">
        <f aca="false">IF(H13="","",IF(H13&lt;30,"Easy",IF(H13&lt;50,"Medium",IF(H13&lt;70,"Hard","Very hard"))))</f>
        <v>Easy</v>
      </c>
      <c r="L13" s="9"/>
    </row>
    <row r="14" customFormat="false" ht="15" hidden="false" customHeight="true" outlineLevel="0" collapsed="false">
      <c r="A14" s="9" t="n">
        <v>13</v>
      </c>
      <c r="B14" s="9" t="s">
        <v>34</v>
      </c>
      <c r="C14" s="9" t="s">
        <v>35</v>
      </c>
      <c r="D14" s="9" t="s">
        <v>26</v>
      </c>
      <c r="E14" s="9" t="s">
        <v>50</v>
      </c>
      <c r="F14" s="10" t="n">
        <v>30</v>
      </c>
      <c r="G14" s="11" t="n">
        <v>0.18</v>
      </c>
      <c r="H14" s="12" t="n">
        <v>8</v>
      </c>
      <c r="I14" s="13" t="s">
        <v>40</v>
      </c>
      <c r="J14" s="14" t="n">
        <f aca="false">IF(AND(ISNUMBER(F14),ISNUMBER(G14)),F14*G14,"")</f>
        <v>5.4</v>
      </c>
      <c r="K14" s="9" t="str">
        <f aca="false">IF(H14="","",IF(H14&lt;30,"Easy",IF(H14&lt;50,"Medium",IF(H14&lt;70,"Hard","Very hard"))))</f>
        <v>Easy</v>
      </c>
      <c r="L14" s="9"/>
    </row>
    <row r="15" customFormat="false" ht="15" hidden="false" customHeight="true" outlineLevel="0" collapsed="false">
      <c r="A15" s="9" t="n">
        <v>14</v>
      </c>
      <c r="B15" s="9" t="s">
        <v>34</v>
      </c>
      <c r="C15" s="9" t="s">
        <v>35</v>
      </c>
      <c r="D15" s="9" t="s">
        <v>26</v>
      </c>
      <c r="E15" s="9" t="s">
        <v>51</v>
      </c>
      <c r="F15" s="10" t="n">
        <v>0</v>
      </c>
      <c r="G15" s="11" t="n">
        <v>0</v>
      </c>
      <c r="H15" s="12" t="n">
        <v>59</v>
      </c>
      <c r="I15" s="13"/>
      <c r="J15" s="14" t="n">
        <f aca="false">IF(AND(ISNUMBER(F15),ISNUMBER(G15)),F15*G15,"")</f>
        <v>0</v>
      </c>
      <c r="K15" s="9" t="str">
        <f aca="false">IF(H15="","",IF(H15&lt;30,"Easy",IF(H15&lt;50,"Medium",IF(H15&lt;70,"Hard","Very hard"))))</f>
        <v>Hard</v>
      </c>
      <c r="L15" s="9" t="s">
        <v>37</v>
      </c>
    </row>
    <row r="16" customFormat="false" ht="15" hidden="false" customHeight="true" outlineLevel="0" collapsed="false">
      <c r="A16" s="9" t="n">
        <v>15</v>
      </c>
      <c r="B16" s="9" t="s">
        <v>34</v>
      </c>
      <c r="C16" s="9" t="s">
        <v>35</v>
      </c>
      <c r="D16" s="9" t="s">
        <v>26</v>
      </c>
      <c r="E16" s="9" t="s">
        <v>52</v>
      </c>
      <c r="F16" s="10" t="n">
        <v>0</v>
      </c>
      <c r="G16" s="11" t="n">
        <v>0</v>
      </c>
      <c r="H16" s="12" t="n">
        <v>18</v>
      </c>
      <c r="I16" s="13"/>
      <c r="J16" s="14" t="n">
        <f aca="false">IF(AND(ISNUMBER(F16),ISNUMBER(G16)),F16*G16,"")</f>
        <v>0</v>
      </c>
      <c r="K16" s="9" t="str">
        <f aca="false">IF(H16="","",IF(H16&lt;30,"Easy",IF(H16&lt;50,"Medium",IF(H16&lt;70,"Hard","Very hard"))))</f>
        <v>Easy</v>
      </c>
      <c r="L16" s="9" t="s">
        <v>37</v>
      </c>
    </row>
    <row r="17" customFormat="false" ht="15" hidden="false" customHeight="true" outlineLevel="0" collapsed="false">
      <c r="A17" s="9" t="n">
        <v>16</v>
      </c>
      <c r="B17" s="9" t="s">
        <v>34</v>
      </c>
      <c r="C17" s="9" t="s">
        <v>35</v>
      </c>
      <c r="D17" s="9" t="s">
        <v>26</v>
      </c>
      <c r="E17" s="9" t="s">
        <v>53</v>
      </c>
      <c r="F17" s="10" t="n">
        <v>20</v>
      </c>
      <c r="G17" s="11" t="n">
        <v>0</v>
      </c>
      <c r="H17" s="12" t="n">
        <v>5</v>
      </c>
      <c r="I17" s="13" t="s">
        <v>40</v>
      </c>
      <c r="J17" s="14" t="n">
        <f aca="false">IF(AND(ISNUMBER(F17),ISNUMBER(G17)),F17*G17,"")</f>
        <v>0</v>
      </c>
      <c r="K17" s="9" t="str">
        <f aca="false">IF(H17="","",IF(H17&lt;30,"Easy",IF(H17&lt;50,"Medium",IF(H17&lt;70,"Hard","Very hard"))))</f>
        <v>Easy</v>
      </c>
      <c r="L17" s="9"/>
    </row>
    <row r="18" customFormat="false" ht="15" hidden="false" customHeight="true" outlineLevel="0" collapsed="false">
      <c r="A18" s="9" t="n">
        <v>17</v>
      </c>
      <c r="B18" s="9" t="s">
        <v>34</v>
      </c>
      <c r="C18" s="9" t="s">
        <v>35</v>
      </c>
      <c r="D18" s="9" t="s">
        <v>26</v>
      </c>
      <c r="E18" s="9" t="s">
        <v>54</v>
      </c>
      <c r="F18" s="10" t="n">
        <v>0</v>
      </c>
      <c r="G18" s="11" t="n">
        <v>0</v>
      </c>
      <c r="H18" s="12" t="n">
        <v>20</v>
      </c>
      <c r="I18" s="13"/>
      <c r="J18" s="14" t="n">
        <f aca="false">IF(AND(ISNUMBER(F18),ISNUMBER(G18)),F18*G18,"")</f>
        <v>0</v>
      </c>
      <c r="K18" s="9" t="str">
        <f aca="false">IF(H18="","",IF(H18&lt;30,"Easy",IF(H18&lt;50,"Medium",IF(H18&lt;70,"Hard","Very hard"))))</f>
        <v>Easy</v>
      </c>
      <c r="L18" s="9" t="s">
        <v>37</v>
      </c>
    </row>
    <row r="19" customFormat="false" ht="15" hidden="false" customHeight="true" outlineLevel="0" collapsed="false">
      <c r="A19" s="9" t="n">
        <v>18</v>
      </c>
      <c r="B19" s="9" t="s">
        <v>34</v>
      </c>
      <c r="C19" s="9" t="s">
        <v>35</v>
      </c>
      <c r="D19" s="9" t="s">
        <v>26</v>
      </c>
      <c r="E19" s="9" t="s">
        <v>55</v>
      </c>
      <c r="F19" s="10" t="n">
        <v>140</v>
      </c>
      <c r="G19" s="11" t="n">
        <v>0.3</v>
      </c>
      <c r="H19" s="12" t="n">
        <v>46</v>
      </c>
      <c r="I19" s="13" t="s">
        <v>40</v>
      </c>
      <c r="J19" s="14" t="n">
        <f aca="false">IF(AND(ISNUMBER(F19),ISNUMBER(G19)),F19*G19,"")</f>
        <v>42</v>
      </c>
      <c r="K19" s="9" t="str">
        <f aca="false">IF(H19="","",IF(H19&lt;30,"Easy",IF(H19&lt;50,"Medium",IF(H19&lt;70,"Hard","Very hard"))))</f>
        <v>Medium</v>
      </c>
      <c r="L19" s="9"/>
    </row>
    <row r="20" customFormat="false" ht="15" hidden="false" customHeight="true" outlineLevel="0" collapsed="false">
      <c r="A20" s="9" t="n">
        <v>19</v>
      </c>
      <c r="B20" s="9" t="s">
        <v>34</v>
      </c>
      <c r="C20" s="9" t="s">
        <v>35</v>
      </c>
      <c r="D20" s="9" t="s">
        <v>26</v>
      </c>
      <c r="E20" s="9" t="s">
        <v>56</v>
      </c>
      <c r="F20" s="10" t="n">
        <v>10</v>
      </c>
      <c r="G20" s="11" t="n">
        <v>0.17</v>
      </c>
      <c r="H20" s="12" t="n">
        <v>17</v>
      </c>
      <c r="I20" s="13" t="s">
        <v>28</v>
      </c>
      <c r="J20" s="14" t="n">
        <f aca="false">IF(AND(ISNUMBER(F20),ISNUMBER(G20)),F20*G20,"")</f>
        <v>1.7</v>
      </c>
      <c r="K20" s="9" t="str">
        <f aca="false">IF(H20="","",IF(H20&lt;30,"Easy",IF(H20&lt;50,"Medium",IF(H20&lt;70,"Hard","Very hard"))))</f>
        <v>Easy</v>
      </c>
      <c r="L20" s="9"/>
    </row>
    <row r="21" customFormat="false" ht="15" hidden="false" customHeight="true" outlineLevel="0" collapsed="false">
      <c r="A21" s="9" t="n">
        <v>20</v>
      </c>
      <c r="B21" s="9" t="s">
        <v>34</v>
      </c>
      <c r="C21" s="9" t="s">
        <v>35</v>
      </c>
      <c r="D21" s="9" t="s">
        <v>26</v>
      </c>
      <c r="E21" s="9" t="s">
        <v>57</v>
      </c>
      <c r="F21" s="10" t="n">
        <v>0</v>
      </c>
      <c r="G21" s="11" t="n">
        <v>0</v>
      </c>
      <c r="H21" s="12" t="n">
        <v>17</v>
      </c>
      <c r="I21" s="13"/>
      <c r="J21" s="14" t="n">
        <f aca="false">IF(AND(ISNUMBER(F21),ISNUMBER(G21)),F21*G21,"")</f>
        <v>0</v>
      </c>
      <c r="K21" s="9" t="str">
        <f aca="false">IF(H21="","",IF(H21&lt;30,"Easy",IF(H21&lt;50,"Medium",IF(H21&lt;70,"Hard","Very hard"))))</f>
        <v>Easy</v>
      </c>
      <c r="L21" s="9" t="s">
        <v>37</v>
      </c>
    </row>
    <row r="22" customFormat="false" ht="15" hidden="false" customHeight="true" outlineLevel="0" collapsed="false">
      <c r="A22" s="9" t="n">
        <v>21</v>
      </c>
      <c r="B22" s="9" t="s">
        <v>34</v>
      </c>
      <c r="C22" s="9" t="s">
        <v>25</v>
      </c>
      <c r="D22" s="9" t="s">
        <v>58</v>
      </c>
      <c r="E22" s="9" t="s">
        <v>59</v>
      </c>
      <c r="F22" s="10"/>
      <c r="G22" s="11"/>
      <c r="H22" s="12"/>
      <c r="I22" s="13"/>
      <c r="J22" s="14" t="str">
        <f aca="false">IF(AND(ISNUMBER(F22),ISNUMBER(G22)),F22*G22,"")</f>
        <v/>
      </c>
      <c r="K22" s="9" t="str">
        <f aca="false">IF(H22="","",IF(H22&lt;30,"Easy",IF(H22&lt;50,"Medium",IF(H22&lt;70,"Hard","Very hard"))))</f>
        <v/>
      </c>
      <c r="L22" s="9"/>
    </row>
    <row r="23" customFormat="false" ht="15" hidden="false" customHeight="true" outlineLevel="0" collapsed="false">
      <c r="A23" s="9" t="n">
        <v>22</v>
      </c>
      <c r="B23" s="9" t="s">
        <v>34</v>
      </c>
      <c r="C23" s="9" t="s">
        <v>25</v>
      </c>
      <c r="D23" s="9" t="s">
        <v>58</v>
      </c>
      <c r="E23" s="9" t="s">
        <v>60</v>
      </c>
      <c r="F23" s="10"/>
      <c r="G23" s="11"/>
      <c r="H23" s="12"/>
      <c r="I23" s="13"/>
      <c r="J23" s="14" t="str">
        <f aca="false">IF(AND(ISNUMBER(F23),ISNUMBER(G23)),F23*G23,"")</f>
        <v/>
      </c>
      <c r="K23" s="9" t="str">
        <f aca="false">IF(H23="","",IF(H23&lt;30,"Easy",IF(H23&lt;50,"Medium",IF(H23&lt;70,"Hard","Very hard"))))</f>
        <v/>
      </c>
      <c r="L23" s="9"/>
    </row>
    <row r="24" customFormat="false" ht="15" hidden="false" customHeight="true" outlineLevel="0" collapsed="false">
      <c r="A24" s="9" t="n">
        <v>23</v>
      </c>
      <c r="B24" s="9" t="s">
        <v>34</v>
      </c>
      <c r="C24" s="9" t="s">
        <v>25</v>
      </c>
      <c r="D24" s="9" t="s">
        <v>58</v>
      </c>
      <c r="E24" s="9" t="s">
        <v>61</v>
      </c>
      <c r="F24" s="10"/>
      <c r="G24" s="11"/>
      <c r="H24" s="12"/>
      <c r="I24" s="13"/>
      <c r="J24" s="14" t="str">
        <f aca="false">IF(AND(ISNUMBER(F24),ISNUMBER(G24)),F24*G24,"")</f>
        <v/>
      </c>
      <c r="K24" s="9" t="str">
        <f aca="false">IF(H24="","",IF(H24&lt;30,"Easy",IF(H24&lt;50,"Medium",IF(H24&lt;70,"Hard","Very hard"))))</f>
        <v/>
      </c>
      <c r="L24" s="9"/>
    </row>
    <row r="25" customFormat="false" ht="15" hidden="false" customHeight="true" outlineLevel="0" collapsed="false">
      <c r="A25" s="9" t="n">
        <v>24</v>
      </c>
      <c r="B25" s="9" t="s">
        <v>34</v>
      </c>
      <c r="C25" s="9" t="s">
        <v>25</v>
      </c>
      <c r="D25" s="9" t="s">
        <v>58</v>
      </c>
      <c r="E25" s="9" t="s">
        <v>62</v>
      </c>
      <c r="F25" s="10"/>
      <c r="G25" s="11"/>
      <c r="H25" s="12"/>
      <c r="I25" s="13"/>
      <c r="J25" s="14" t="str">
        <f aca="false">IF(AND(ISNUMBER(F25),ISNUMBER(G25)),F25*G25,"")</f>
        <v/>
      </c>
      <c r="K25" s="9" t="str">
        <f aca="false">IF(H25="","",IF(H25&lt;30,"Easy",IF(H25&lt;50,"Medium",IF(H25&lt;70,"Hard","Very hard"))))</f>
        <v/>
      </c>
      <c r="L25" s="9"/>
    </row>
    <row r="26" customFormat="false" ht="15" hidden="false" customHeight="true" outlineLevel="0" collapsed="false">
      <c r="A26" s="9" t="n">
        <v>25</v>
      </c>
      <c r="B26" s="9" t="s">
        <v>34</v>
      </c>
      <c r="C26" s="9" t="s">
        <v>25</v>
      </c>
      <c r="D26" s="9" t="s">
        <v>58</v>
      </c>
      <c r="E26" s="9" t="s">
        <v>63</v>
      </c>
      <c r="F26" s="10"/>
      <c r="G26" s="11"/>
      <c r="H26" s="12"/>
      <c r="I26" s="13"/>
      <c r="J26" s="14" t="str">
        <f aca="false">IF(AND(ISNUMBER(F26),ISNUMBER(G26)),F26*G26,"")</f>
        <v/>
      </c>
      <c r="K26" s="9" t="str">
        <f aca="false">IF(H26="","",IF(H26&lt;30,"Easy",IF(H26&lt;50,"Medium",IF(H26&lt;70,"Hard","Very hard"))))</f>
        <v/>
      </c>
      <c r="L26" s="9"/>
    </row>
    <row r="27" customFormat="false" ht="15" hidden="false" customHeight="true" outlineLevel="0" collapsed="false">
      <c r="A27" s="9" t="n">
        <v>26</v>
      </c>
      <c r="B27" s="9" t="s">
        <v>34</v>
      </c>
      <c r="C27" s="9" t="s">
        <v>25</v>
      </c>
      <c r="D27" s="9" t="s">
        <v>58</v>
      </c>
      <c r="E27" s="9" t="s">
        <v>64</v>
      </c>
      <c r="F27" s="10"/>
      <c r="G27" s="11"/>
      <c r="H27" s="12"/>
      <c r="I27" s="13"/>
      <c r="J27" s="14" t="str">
        <f aca="false">IF(AND(ISNUMBER(F27),ISNUMBER(G27)),F27*G27,"")</f>
        <v/>
      </c>
      <c r="K27" s="9" t="str">
        <f aca="false">IF(H27="","",IF(H27&lt;30,"Easy",IF(H27&lt;50,"Medium",IF(H27&lt;70,"Hard","Very hard"))))</f>
        <v/>
      </c>
      <c r="L27" s="9"/>
    </row>
    <row r="28" customFormat="false" ht="15" hidden="false" customHeight="true" outlineLevel="0" collapsed="false">
      <c r="A28" s="9" t="n">
        <v>27</v>
      </c>
      <c r="B28" s="9" t="s">
        <v>34</v>
      </c>
      <c r="C28" s="9" t="s">
        <v>25</v>
      </c>
      <c r="D28" s="9" t="s">
        <v>58</v>
      </c>
      <c r="E28" s="9" t="s">
        <v>65</v>
      </c>
      <c r="F28" s="10"/>
      <c r="G28" s="11"/>
      <c r="H28" s="12"/>
      <c r="I28" s="13"/>
      <c r="J28" s="14" t="str">
        <f aca="false">IF(AND(ISNUMBER(F28),ISNUMBER(G28)),F28*G28,"")</f>
        <v/>
      </c>
      <c r="K28" s="9" t="str">
        <f aca="false">IF(H28="","",IF(H28&lt;30,"Easy",IF(H28&lt;50,"Medium",IF(H28&lt;70,"Hard","Very hard"))))</f>
        <v/>
      </c>
      <c r="L28" s="9"/>
    </row>
    <row r="29" customFormat="false" ht="15" hidden="false" customHeight="true" outlineLevel="0" collapsed="false">
      <c r="A29" s="9" t="n">
        <v>28</v>
      </c>
      <c r="B29" s="9" t="s">
        <v>34</v>
      </c>
      <c r="C29" s="9" t="s">
        <v>25</v>
      </c>
      <c r="D29" s="9" t="s">
        <v>58</v>
      </c>
      <c r="E29" s="9" t="s">
        <v>66</v>
      </c>
      <c r="F29" s="10"/>
      <c r="G29" s="11"/>
      <c r="H29" s="12"/>
      <c r="I29" s="13"/>
      <c r="J29" s="14" t="str">
        <f aca="false">IF(AND(ISNUMBER(F29),ISNUMBER(G29)),F29*G29,"")</f>
        <v/>
      </c>
      <c r="K29" s="9" t="str">
        <f aca="false">IF(H29="","",IF(H29&lt;30,"Easy",IF(H29&lt;50,"Medium",IF(H29&lt;70,"Hard","Very hard"))))</f>
        <v/>
      </c>
      <c r="L29" s="9"/>
    </row>
    <row r="30" customFormat="false" ht="15" hidden="false" customHeight="true" outlineLevel="0" collapsed="false">
      <c r="A30" s="9" t="n">
        <v>29</v>
      </c>
      <c r="B30" s="9" t="s">
        <v>34</v>
      </c>
      <c r="C30" s="9" t="s">
        <v>25</v>
      </c>
      <c r="D30" s="9" t="s">
        <v>58</v>
      </c>
      <c r="E30" s="9" t="s">
        <v>67</v>
      </c>
      <c r="F30" s="10"/>
      <c r="G30" s="11"/>
      <c r="H30" s="12"/>
      <c r="I30" s="13"/>
      <c r="J30" s="14" t="str">
        <f aca="false">IF(AND(ISNUMBER(F30),ISNUMBER(G30)),F30*G30,"")</f>
        <v/>
      </c>
      <c r="K30" s="9" t="str">
        <f aca="false">IF(H30="","",IF(H30&lt;30,"Easy",IF(H30&lt;50,"Medium",IF(H30&lt;70,"Hard","Very hard"))))</f>
        <v/>
      </c>
      <c r="L30" s="9"/>
    </row>
    <row r="31" customFormat="false" ht="15" hidden="false" customHeight="true" outlineLevel="0" collapsed="false">
      <c r="A31" s="9" t="n">
        <v>30</v>
      </c>
      <c r="B31" s="9" t="s">
        <v>34</v>
      </c>
      <c r="C31" s="9" t="s">
        <v>25</v>
      </c>
      <c r="D31" s="9" t="s">
        <v>58</v>
      </c>
      <c r="E31" s="9" t="s">
        <v>68</v>
      </c>
      <c r="F31" s="10"/>
      <c r="G31" s="11"/>
      <c r="H31" s="12"/>
      <c r="I31" s="13"/>
      <c r="J31" s="14" t="str">
        <f aca="false">IF(AND(ISNUMBER(F31),ISNUMBER(G31)),F31*G31,"")</f>
        <v/>
      </c>
      <c r="K31" s="9" t="str">
        <f aca="false">IF(H31="","",IF(H31&lt;30,"Easy",IF(H31&lt;50,"Medium",IF(H31&lt;70,"Hard","Very hard"))))</f>
        <v/>
      </c>
      <c r="L31" s="9"/>
    </row>
    <row r="32" customFormat="false" ht="15" hidden="false" customHeight="true" outlineLevel="0" collapsed="false">
      <c r="A32" s="9" t="n">
        <v>31</v>
      </c>
      <c r="B32" s="9" t="s">
        <v>34</v>
      </c>
      <c r="C32" s="9" t="s">
        <v>25</v>
      </c>
      <c r="D32" s="9" t="s">
        <v>58</v>
      </c>
      <c r="E32" s="9" t="s">
        <v>69</v>
      </c>
      <c r="F32" s="10"/>
      <c r="G32" s="11"/>
      <c r="H32" s="12"/>
      <c r="I32" s="13"/>
      <c r="J32" s="14" t="str">
        <f aca="false">IF(AND(ISNUMBER(F32),ISNUMBER(G32)),F32*G32,"")</f>
        <v/>
      </c>
      <c r="K32" s="9" t="str">
        <f aca="false">IF(H32="","",IF(H32&lt;30,"Easy",IF(H32&lt;50,"Medium",IF(H32&lt;70,"Hard","Very hard"))))</f>
        <v/>
      </c>
      <c r="L32" s="9"/>
    </row>
    <row r="33" customFormat="false" ht="15" hidden="false" customHeight="true" outlineLevel="0" collapsed="false">
      <c r="A33" s="9" t="n">
        <v>32</v>
      </c>
      <c r="B33" s="9" t="s">
        <v>34</v>
      </c>
      <c r="C33" s="9" t="s">
        <v>25</v>
      </c>
      <c r="D33" s="9" t="s">
        <v>58</v>
      </c>
      <c r="E33" s="9" t="s">
        <v>70</v>
      </c>
      <c r="F33" s="10"/>
      <c r="G33" s="11"/>
      <c r="H33" s="12"/>
      <c r="I33" s="13"/>
      <c r="J33" s="14" t="str">
        <f aca="false">IF(AND(ISNUMBER(F33),ISNUMBER(G33)),F33*G33,"")</f>
        <v/>
      </c>
      <c r="K33" s="9" t="str">
        <f aca="false">IF(H33="","",IF(H33&lt;30,"Easy",IF(H33&lt;50,"Medium",IF(H33&lt;70,"Hard","Very hard"))))</f>
        <v/>
      </c>
      <c r="L33" s="9"/>
    </row>
    <row r="34" customFormat="false" ht="15" hidden="false" customHeight="true" outlineLevel="0" collapsed="false">
      <c r="A34" s="9" t="n">
        <v>33</v>
      </c>
      <c r="B34" s="9" t="s">
        <v>34</v>
      </c>
      <c r="C34" s="9" t="s">
        <v>25</v>
      </c>
      <c r="D34" s="9" t="s">
        <v>58</v>
      </c>
      <c r="E34" s="9" t="s">
        <v>71</v>
      </c>
      <c r="F34" s="10"/>
      <c r="G34" s="11"/>
      <c r="H34" s="12"/>
      <c r="I34" s="13"/>
      <c r="J34" s="14" t="str">
        <f aca="false">IF(AND(ISNUMBER(F34),ISNUMBER(G34)),F34*G34,"")</f>
        <v/>
      </c>
      <c r="K34" s="9" t="str">
        <f aca="false">IF(H34="","",IF(H34&lt;30,"Easy",IF(H34&lt;50,"Medium",IF(H34&lt;70,"Hard","Very hard"))))</f>
        <v/>
      </c>
      <c r="L34" s="9"/>
    </row>
    <row r="35" customFormat="false" ht="15" hidden="false" customHeight="true" outlineLevel="0" collapsed="false">
      <c r="A35" s="9" t="n">
        <v>34</v>
      </c>
      <c r="B35" s="9" t="s">
        <v>34</v>
      </c>
      <c r="C35" s="9" t="s">
        <v>25</v>
      </c>
      <c r="D35" s="9" t="s">
        <v>58</v>
      </c>
      <c r="E35" s="9" t="s">
        <v>72</v>
      </c>
      <c r="F35" s="10"/>
      <c r="G35" s="11"/>
      <c r="H35" s="12"/>
      <c r="I35" s="13"/>
      <c r="J35" s="14" t="str">
        <f aca="false">IF(AND(ISNUMBER(F35),ISNUMBER(G35)),F35*G35,"")</f>
        <v/>
      </c>
      <c r="K35" s="9" t="str">
        <f aca="false">IF(H35="","",IF(H35&lt;30,"Easy",IF(H35&lt;50,"Medium",IF(H35&lt;70,"Hard","Very hard"))))</f>
        <v/>
      </c>
      <c r="L35" s="9"/>
    </row>
    <row r="36" customFormat="false" ht="15" hidden="false" customHeight="true" outlineLevel="0" collapsed="false">
      <c r="A36" s="9" t="n">
        <v>35</v>
      </c>
      <c r="B36" s="9" t="s">
        <v>34</v>
      </c>
      <c r="C36" s="9" t="s">
        <v>25</v>
      </c>
      <c r="D36" s="9" t="s">
        <v>58</v>
      </c>
      <c r="E36" s="9" t="s">
        <v>73</v>
      </c>
      <c r="F36" s="10"/>
      <c r="G36" s="11"/>
      <c r="H36" s="12"/>
      <c r="I36" s="13"/>
      <c r="J36" s="14" t="str">
        <f aca="false">IF(AND(ISNUMBER(F36),ISNUMBER(G36)),F36*G36,"")</f>
        <v/>
      </c>
      <c r="K36" s="9" t="str">
        <f aca="false">IF(H36="","",IF(H36&lt;30,"Easy",IF(H36&lt;50,"Medium",IF(H36&lt;70,"Hard","Very hard"))))</f>
        <v/>
      </c>
      <c r="L36" s="9"/>
    </row>
    <row r="37" customFormat="false" ht="15" hidden="false" customHeight="true" outlineLevel="0" collapsed="false">
      <c r="A37" s="9" t="n">
        <v>36</v>
      </c>
      <c r="B37" s="9" t="s">
        <v>34</v>
      </c>
      <c r="C37" s="9" t="s">
        <v>25</v>
      </c>
      <c r="D37" s="9" t="s">
        <v>58</v>
      </c>
      <c r="E37" s="9" t="s">
        <v>74</v>
      </c>
      <c r="F37" s="10"/>
      <c r="G37" s="11"/>
      <c r="H37" s="12"/>
      <c r="I37" s="13"/>
      <c r="J37" s="14" t="str">
        <f aca="false">IF(AND(ISNUMBER(F37),ISNUMBER(G37)),F37*G37,"")</f>
        <v/>
      </c>
      <c r="K37" s="9" t="str">
        <f aca="false">IF(H37="","",IF(H37&lt;30,"Easy",IF(H37&lt;50,"Medium",IF(H37&lt;70,"Hard","Very hard"))))</f>
        <v/>
      </c>
      <c r="L37" s="9"/>
    </row>
    <row r="38" customFormat="false" ht="15" hidden="false" customHeight="true" outlineLevel="0" collapsed="false">
      <c r="A38" s="9" t="n">
        <v>37</v>
      </c>
      <c r="B38" s="9" t="s">
        <v>34</v>
      </c>
      <c r="C38" s="9" t="s">
        <v>25</v>
      </c>
      <c r="D38" s="9" t="s">
        <v>58</v>
      </c>
      <c r="E38" s="9" t="s">
        <v>75</v>
      </c>
      <c r="F38" s="10"/>
      <c r="G38" s="11"/>
      <c r="H38" s="12"/>
      <c r="I38" s="13"/>
      <c r="J38" s="14" t="str">
        <f aca="false">IF(AND(ISNUMBER(F38),ISNUMBER(G38)),F38*G38,"")</f>
        <v/>
      </c>
      <c r="K38" s="9" t="str">
        <f aca="false">IF(H38="","",IF(H38&lt;30,"Easy",IF(H38&lt;50,"Medium",IF(H38&lt;70,"Hard","Very hard"))))</f>
        <v/>
      </c>
      <c r="L38" s="9"/>
    </row>
    <row r="39" customFormat="false" ht="15" hidden="false" customHeight="true" outlineLevel="0" collapsed="false">
      <c r="A39" s="9" t="n">
        <v>38</v>
      </c>
      <c r="B39" s="9" t="s">
        <v>34</v>
      </c>
      <c r="C39" s="9" t="s">
        <v>25</v>
      </c>
      <c r="D39" s="9" t="s">
        <v>58</v>
      </c>
      <c r="E39" s="9" t="s">
        <v>76</v>
      </c>
      <c r="F39" s="10"/>
      <c r="G39" s="11"/>
      <c r="H39" s="12"/>
      <c r="I39" s="13"/>
      <c r="J39" s="14" t="str">
        <f aca="false">IF(AND(ISNUMBER(F39),ISNUMBER(G39)),F39*G39,"")</f>
        <v/>
      </c>
      <c r="K39" s="9" t="str">
        <f aca="false">IF(H39="","",IF(H39&lt;30,"Easy",IF(H39&lt;50,"Medium",IF(H39&lt;70,"Hard","Very hard"))))</f>
        <v/>
      </c>
      <c r="L39" s="9"/>
    </row>
    <row r="40" customFormat="false" ht="15" hidden="false" customHeight="true" outlineLevel="0" collapsed="false">
      <c r="A40" s="9" t="n">
        <v>39</v>
      </c>
      <c r="B40" s="9" t="s">
        <v>34</v>
      </c>
      <c r="C40" s="9" t="s">
        <v>25</v>
      </c>
      <c r="D40" s="9" t="s">
        <v>58</v>
      </c>
      <c r="E40" s="9" t="s">
        <v>77</v>
      </c>
      <c r="F40" s="10"/>
      <c r="G40" s="11"/>
      <c r="H40" s="12"/>
      <c r="I40" s="13"/>
      <c r="J40" s="14" t="str">
        <f aca="false">IF(AND(ISNUMBER(F40),ISNUMBER(G40)),F40*G40,"")</f>
        <v/>
      </c>
      <c r="K40" s="9" t="str">
        <f aca="false">IF(H40="","",IF(H40&lt;30,"Easy",IF(H40&lt;50,"Medium",IF(H40&lt;70,"Hard","Very hard"))))</f>
        <v/>
      </c>
      <c r="L40" s="9"/>
    </row>
    <row r="41" customFormat="false" ht="15" hidden="false" customHeight="true" outlineLevel="0" collapsed="false">
      <c r="A41" s="9" t="n">
        <v>40</v>
      </c>
      <c r="B41" s="9" t="s">
        <v>34</v>
      </c>
      <c r="C41" s="9" t="s">
        <v>25</v>
      </c>
      <c r="D41" s="9" t="s">
        <v>58</v>
      </c>
      <c r="E41" s="9" t="s">
        <v>78</v>
      </c>
      <c r="F41" s="10"/>
      <c r="G41" s="11"/>
      <c r="H41" s="12"/>
      <c r="I41" s="13"/>
      <c r="J41" s="14" t="str">
        <f aca="false">IF(AND(ISNUMBER(F41),ISNUMBER(G41)),F41*G41,"")</f>
        <v/>
      </c>
      <c r="K41" s="9" t="str">
        <f aca="false">IF(H41="","",IF(H41&lt;30,"Easy",IF(H41&lt;50,"Medium",IF(H41&lt;70,"Hard","Very hard"))))</f>
        <v/>
      </c>
      <c r="L41" s="9"/>
    </row>
    <row r="42" customFormat="false" ht="15" hidden="false" customHeight="true" outlineLevel="0" collapsed="false">
      <c r="A42" s="9" t="n">
        <v>41</v>
      </c>
      <c r="B42" s="9" t="s">
        <v>34</v>
      </c>
      <c r="C42" s="9" t="s">
        <v>25</v>
      </c>
      <c r="D42" s="9" t="s">
        <v>58</v>
      </c>
      <c r="E42" s="9" t="s">
        <v>79</v>
      </c>
      <c r="F42" s="10"/>
      <c r="G42" s="11"/>
      <c r="H42" s="12"/>
      <c r="I42" s="13"/>
      <c r="J42" s="14" t="str">
        <f aca="false">IF(AND(ISNUMBER(F42),ISNUMBER(G42)),F42*G42,"")</f>
        <v/>
      </c>
      <c r="K42" s="9" t="str">
        <f aca="false">IF(H42="","",IF(H42&lt;30,"Easy",IF(H42&lt;50,"Medium",IF(H42&lt;70,"Hard","Very hard"))))</f>
        <v/>
      </c>
      <c r="L42" s="9"/>
    </row>
    <row r="43" customFormat="false" ht="15" hidden="false" customHeight="true" outlineLevel="0" collapsed="false">
      <c r="A43" s="9" t="n">
        <v>42</v>
      </c>
      <c r="B43" s="9" t="s">
        <v>34</v>
      </c>
      <c r="C43" s="9" t="s">
        <v>25</v>
      </c>
      <c r="D43" s="9" t="s">
        <v>58</v>
      </c>
      <c r="E43" s="9" t="s">
        <v>80</v>
      </c>
      <c r="F43" s="10"/>
      <c r="G43" s="11"/>
      <c r="H43" s="12"/>
      <c r="I43" s="13"/>
      <c r="J43" s="14" t="str">
        <f aca="false">IF(AND(ISNUMBER(F43),ISNUMBER(G43)),F43*G43,"")</f>
        <v/>
      </c>
      <c r="K43" s="9" t="str">
        <f aca="false">IF(H43="","",IF(H43&lt;30,"Easy",IF(H43&lt;50,"Medium",IF(H43&lt;70,"Hard","Very hard"))))</f>
        <v/>
      </c>
      <c r="L43" s="9"/>
    </row>
    <row r="44" customFormat="false" ht="15" hidden="false" customHeight="true" outlineLevel="0" collapsed="false">
      <c r="A44" s="9" t="n">
        <v>43</v>
      </c>
      <c r="B44" s="9" t="s">
        <v>34</v>
      </c>
      <c r="C44" s="9" t="s">
        <v>25</v>
      </c>
      <c r="D44" s="9" t="s">
        <v>58</v>
      </c>
      <c r="E44" s="9" t="s">
        <v>81</v>
      </c>
      <c r="F44" s="10"/>
      <c r="G44" s="11"/>
      <c r="H44" s="12"/>
      <c r="I44" s="13"/>
      <c r="J44" s="14" t="str">
        <f aca="false">IF(AND(ISNUMBER(F44),ISNUMBER(G44)),F44*G44,"")</f>
        <v/>
      </c>
      <c r="K44" s="9" t="str">
        <f aca="false">IF(H44="","",IF(H44&lt;30,"Easy",IF(H44&lt;50,"Medium",IF(H44&lt;70,"Hard","Very hard"))))</f>
        <v/>
      </c>
      <c r="L44" s="9"/>
    </row>
    <row r="45" customFormat="false" ht="15" hidden="false" customHeight="true" outlineLevel="0" collapsed="false">
      <c r="A45" s="9" t="n">
        <v>44</v>
      </c>
      <c r="B45" s="9" t="s">
        <v>34</v>
      </c>
      <c r="C45" s="9" t="s">
        <v>25</v>
      </c>
      <c r="D45" s="9" t="s">
        <v>58</v>
      </c>
      <c r="E45" s="9" t="s">
        <v>82</v>
      </c>
      <c r="F45" s="10"/>
      <c r="G45" s="11"/>
      <c r="H45" s="12"/>
      <c r="I45" s="13"/>
      <c r="J45" s="14" t="str">
        <f aca="false">IF(AND(ISNUMBER(F45),ISNUMBER(G45)),F45*G45,"")</f>
        <v/>
      </c>
      <c r="K45" s="9" t="str">
        <f aca="false">IF(H45="","",IF(H45&lt;30,"Easy",IF(H45&lt;50,"Medium",IF(H45&lt;70,"Hard","Very hard"))))</f>
        <v/>
      </c>
      <c r="L45" s="9"/>
    </row>
    <row r="46" customFormat="false" ht="15" hidden="false" customHeight="true" outlineLevel="0" collapsed="false">
      <c r="A46" s="9" t="n">
        <v>45</v>
      </c>
      <c r="B46" s="9" t="s">
        <v>34</v>
      </c>
      <c r="C46" s="9" t="s">
        <v>25</v>
      </c>
      <c r="D46" s="9" t="s">
        <v>58</v>
      </c>
      <c r="E46" s="9" t="s">
        <v>83</v>
      </c>
      <c r="F46" s="10"/>
      <c r="G46" s="11"/>
      <c r="H46" s="12"/>
      <c r="I46" s="13"/>
      <c r="J46" s="14" t="str">
        <f aca="false">IF(AND(ISNUMBER(F46),ISNUMBER(G46)),F46*G46,"")</f>
        <v/>
      </c>
      <c r="K46" s="9" t="str">
        <f aca="false">IF(H46="","",IF(H46&lt;30,"Easy",IF(H46&lt;50,"Medium",IF(H46&lt;70,"Hard","Very hard"))))</f>
        <v/>
      </c>
      <c r="L46" s="9"/>
    </row>
    <row r="47" customFormat="false" ht="15" hidden="false" customHeight="true" outlineLevel="0" collapsed="false">
      <c r="A47" s="9" t="n">
        <v>46</v>
      </c>
      <c r="B47" s="9" t="s">
        <v>34</v>
      </c>
      <c r="C47" s="9" t="s">
        <v>25</v>
      </c>
      <c r="D47" s="9" t="s">
        <v>58</v>
      </c>
      <c r="E47" s="9" t="s">
        <v>84</v>
      </c>
      <c r="F47" s="10"/>
      <c r="G47" s="11"/>
      <c r="H47" s="12"/>
      <c r="I47" s="13"/>
      <c r="J47" s="14" t="str">
        <f aca="false">IF(AND(ISNUMBER(F47),ISNUMBER(G47)),F47*G47,"")</f>
        <v/>
      </c>
      <c r="K47" s="9" t="str">
        <f aca="false">IF(H47="","",IF(H47&lt;30,"Easy",IF(H47&lt;50,"Medium",IF(H47&lt;70,"Hard","Very hard"))))</f>
        <v/>
      </c>
      <c r="L47" s="9"/>
    </row>
    <row r="48" customFormat="false" ht="15" hidden="false" customHeight="true" outlineLevel="0" collapsed="false">
      <c r="A48" s="9" t="n">
        <v>47</v>
      </c>
      <c r="B48" s="9" t="s">
        <v>34</v>
      </c>
      <c r="C48" s="9" t="s">
        <v>25</v>
      </c>
      <c r="D48" s="9" t="s">
        <v>58</v>
      </c>
      <c r="E48" s="9" t="s">
        <v>85</v>
      </c>
      <c r="F48" s="10"/>
      <c r="G48" s="11"/>
      <c r="H48" s="12"/>
      <c r="I48" s="13"/>
      <c r="J48" s="14" t="str">
        <f aca="false">IF(AND(ISNUMBER(F48),ISNUMBER(G48)),F48*G48,"")</f>
        <v/>
      </c>
      <c r="K48" s="9" t="str">
        <f aca="false">IF(H48="","",IF(H48&lt;30,"Easy",IF(H48&lt;50,"Medium",IF(H48&lt;70,"Hard","Very hard"))))</f>
        <v/>
      </c>
      <c r="L48" s="9"/>
    </row>
    <row r="49" customFormat="false" ht="15" hidden="false" customHeight="true" outlineLevel="0" collapsed="false">
      <c r="A49" s="9" t="n">
        <v>48</v>
      </c>
      <c r="B49" s="9" t="s">
        <v>34</v>
      </c>
      <c r="C49" s="9" t="s">
        <v>25</v>
      </c>
      <c r="D49" s="9" t="s">
        <v>58</v>
      </c>
      <c r="E49" s="9" t="s">
        <v>86</v>
      </c>
      <c r="F49" s="10"/>
      <c r="G49" s="11"/>
      <c r="H49" s="12"/>
      <c r="I49" s="13"/>
      <c r="J49" s="14" t="str">
        <f aca="false">IF(AND(ISNUMBER(F49),ISNUMBER(G49)),F49*G49,"")</f>
        <v/>
      </c>
      <c r="K49" s="9" t="str">
        <f aca="false">IF(H49="","",IF(H49&lt;30,"Easy",IF(H49&lt;50,"Medium",IF(H49&lt;70,"Hard","Very hard"))))</f>
        <v/>
      </c>
      <c r="L49" s="9"/>
    </row>
    <row r="50" customFormat="false" ht="15" hidden="false" customHeight="true" outlineLevel="0" collapsed="false">
      <c r="A50" s="9" t="n">
        <v>49</v>
      </c>
      <c r="B50" s="9" t="s">
        <v>34</v>
      </c>
      <c r="C50" s="9" t="s">
        <v>25</v>
      </c>
      <c r="D50" s="9" t="s">
        <v>58</v>
      </c>
      <c r="E50" s="9" t="s">
        <v>87</v>
      </c>
      <c r="F50" s="10"/>
      <c r="G50" s="11"/>
      <c r="H50" s="12"/>
      <c r="I50" s="13"/>
      <c r="J50" s="14" t="str">
        <f aca="false">IF(AND(ISNUMBER(F50),ISNUMBER(G50)),F50*G50,"")</f>
        <v/>
      </c>
      <c r="K50" s="9" t="str">
        <f aca="false">IF(H50="","",IF(H50&lt;30,"Easy",IF(H50&lt;50,"Medium",IF(H50&lt;70,"Hard","Very hard"))))</f>
        <v/>
      </c>
      <c r="L50" s="9"/>
    </row>
    <row r="51" customFormat="false" ht="15" hidden="false" customHeight="true" outlineLevel="0" collapsed="false">
      <c r="A51" s="9" t="n">
        <v>50</v>
      </c>
      <c r="B51" s="9" t="s">
        <v>34</v>
      </c>
      <c r="C51" s="9" t="s">
        <v>25</v>
      </c>
      <c r="D51" s="9" t="s">
        <v>58</v>
      </c>
      <c r="E51" s="9" t="s">
        <v>88</v>
      </c>
      <c r="F51" s="10"/>
      <c r="G51" s="11"/>
      <c r="H51" s="12"/>
      <c r="I51" s="13"/>
      <c r="J51" s="14" t="str">
        <f aca="false">IF(AND(ISNUMBER(F51),ISNUMBER(G51)),F51*G51,"")</f>
        <v/>
      </c>
      <c r="K51" s="9" t="str">
        <f aca="false">IF(H51="","",IF(H51&lt;30,"Easy",IF(H51&lt;50,"Medium",IF(H51&lt;70,"Hard","Very hard"))))</f>
        <v/>
      </c>
      <c r="L51" s="9"/>
    </row>
    <row r="52" customFormat="false" ht="15" hidden="false" customHeight="true" outlineLevel="0" collapsed="false">
      <c r="A52" s="9" t="n">
        <v>51</v>
      </c>
      <c r="B52" s="9" t="s">
        <v>24</v>
      </c>
      <c r="C52" s="9" t="s">
        <v>35</v>
      </c>
      <c r="D52" s="9" t="s">
        <v>26</v>
      </c>
      <c r="E52" s="9" t="s">
        <v>89</v>
      </c>
      <c r="F52" s="10" t="n">
        <v>30</v>
      </c>
      <c r="G52" s="11" t="n">
        <v>0.35</v>
      </c>
      <c r="H52" s="12" t="n">
        <v>17</v>
      </c>
      <c r="I52" s="13" t="s">
        <v>28</v>
      </c>
      <c r="J52" s="14" t="n">
        <f aca="false">IF(AND(ISNUMBER(F52),ISNUMBER(G52)),F52*G52,"")</f>
        <v>10.5</v>
      </c>
      <c r="K52" s="9" t="str">
        <f aca="false">IF(H52="","",IF(H52&lt;30,"Easy",IF(H52&lt;50,"Medium",IF(H52&lt;70,"Hard","Very hard"))))</f>
        <v>Easy</v>
      </c>
      <c r="L52" s="9"/>
    </row>
    <row r="53" customFormat="false" ht="15" hidden="false" customHeight="true" outlineLevel="0" collapsed="false">
      <c r="A53" s="9" t="n">
        <v>52</v>
      </c>
      <c r="B53" s="9" t="s">
        <v>24</v>
      </c>
      <c r="C53" s="9" t="s">
        <v>35</v>
      </c>
      <c r="D53" s="9" t="s">
        <v>26</v>
      </c>
      <c r="E53" s="9" t="s">
        <v>90</v>
      </c>
      <c r="F53" s="10" t="n">
        <v>10</v>
      </c>
      <c r="G53" s="11" t="n">
        <v>0.31</v>
      </c>
      <c r="H53" s="12" t="n">
        <v>13</v>
      </c>
      <c r="I53" s="13" t="s">
        <v>40</v>
      </c>
      <c r="J53" s="14" t="n">
        <f aca="false">IF(AND(ISNUMBER(F53),ISNUMBER(G53)),F53*G53,"")</f>
        <v>3.1</v>
      </c>
      <c r="K53" s="9" t="str">
        <f aca="false">IF(H53="","",IF(H53&lt;30,"Easy",IF(H53&lt;50,"Medium",IF(H53&lt;70,"Hard","Very hard"))))</f>
        <v>Easy</v>
      </c>
      <c r="L53" s="9"/>
    </row>
    <row r="54" customFormat="false" ht="15" hidden="false" customHeight="true" outlineLevel="0" collapsed="false">
      <c r="A54" s="9" t="n">
        <v>53</v>
      </c>
      <c r="B54" s="9" t="s">
        <v>24</v>
      </c>
      <c r="C54" s="9" t="s">
        <v>35</v>
      </c>
      <c r="D54" s="9" t="s">
        <v>26</v>
      </c>
      <c r="E54" s="9" t="s">
        <v>91</v>
      </c>
      <c r="F54" s="10" t="n">
        <v>140</v>
      </c>
      <c r="G54" s="11" t="n">
        <v>1.56</v>
      </c>
      <c r="H54" s="12" t="n">
        <v>14</v>
      </c>
      <c r="I54" s="13" t="s">
        <v>40</v>
      </c>
      <c r="J54" s="14" t="n">
        <f aca="false">IF(AND(ISNUMBER(F54),ISNUMBER(G54)),F54*G54,"")</f>
        <v>218.4</v>
      </c>
      <c r="K54" s="9" t="str">
        <f aca="false">IF(H54="","",IF(H54&lt;30,"Easy",IF(H54&lt;50,"Medium",IF(H54&lt;70,"Hard","Very hard"))))</f>
        <v>Easy</v>
      </c>
      <c r="L54" s="9"/>
    </row>
    <row r="55" customFormat="false" ht="15" hidden="false" customHeight="true" outlineLevel="0" collapsed="false">
      <c r="A55" s="9" t="n">
        <v>54</v>
      </c>
      <c r="B55" s="9" t="s">
        <v>24</v>
      </c>
      <c r="C55" s="9" t="s">
        <v>35</v>
      </c>
      <c r="D55" s="9" t="s">
        <v>26</v>
      </c>
      <c r="E55" s="9" t="s">
        <v>92</v>
      </c>
      <c r="F55" s="10" t="n">
        <v>20</v>
      </c>
      <c r="G55" s="11" t="n">
        <v>0</v>
      </c>
      <c r="H55" s="12" t="n">
        <v>2</v>
      </c>
      <c r="I55" s="13" t="s">
        <v>28</v>
      </c>
      <c r="J55" s="14" t="n">
        <f aca="false">IF(AND(ISNUMBER(F55),ISNUMBER(G55)),F55*G55,"")</f>
        <v>0</v>
      </c>
      <c r="K55" s="9" t="str">
        <f aca="false">IF(H55="","",IF(H55&lt;30,"Easy",IF(H55&lt;50,"Medium",IF(H55&lt;70,"Hard","Very hard"))))</f>
        <v>Easy</v>
      </c>
      <c r="L55" s="9"/>
    </row>
    <row r="56" customFormat="false" ht="15" hidden="false" customHeight="true" outlineLevel="0" collapsed="false">
      <c r="A56" s="9" t="n">
        <v>55</v>
      </c>
      <c r="B56" s="9" t="s">
        <v>24</v>
      </c>
      <c r="C56" s="9" t="s">
        <v>35</v>
      </c>
      <c r="D56" s="9" t="s">
        <v>26</v>
      </c>
      <c r="E56" s="9" t="s">
        <v>93</v>
      </c>
      <c r="F56" s="10" t="n">
        <v>20</v>
      </c>
      <c r="G56" s="11" t="n">
        <v>0</v>
      </c>
      <c r="H56" s="12" t="n">
        <v>23</v>
      </c>
      <c r="I56" s="13" t="s">
        <v>40</v>
      </c>
      <c r="J56" s="14" t="n">
        <f aca="false">IF(AND(ISNUMBER(F56),ISNUMBER(G56)),F56*G56,"")</f>
        <v>0</v>
      </c>
      <c r="K56" s="9" t="str">
        <f aca="false">IF(H56="","",IF(H56&lt;30,"Easy",IF(H56&lt;50,"Medium",IF(H56&lt;70,"Hard","Very hard"))))</f>
        <v>Easy</v>
      </c>
      <c r="L56" s="9"/>
    </row>
    <row r="57" customFormat="false" ht="15" hidden="false" customHeight="true" outlineLevel="0" collapsed="false">
      <c r="A57" s="9" t="n">
        <v>56</v>
      </c>
      <c r="B57" s="9" t="s">
        <v>24</v>
      </c>
      <c r="C57" s="9" t="s">
        <v>35</v>
      </c>
      <c r="D57" s="9" t="s">
        <v>26</v>
      </c>
      <c r="E57" s="9" t="s">
        <v>94</v>
      </c>
      <c r="F57" s="10" t="n">
        <v>0</v>
      </c>
      <c r="G57" s="11" t="n">
        <v>0</v>
      </c>
      <c r="H57" s="12" t="n">
        <v>25</v>
      </c>
      <c r="I57" s="13"/>
      <c r="J57" s="14" t="n">
        <f aca="false">IF(AND(ISNUMBER(F57),ISNUMBER(G57)),F57*G57,"")</f>
        <v>0</v>
      </c>
      <c r="K57" s="9" t="str">
        <f aca="false">IF(H57="","",IF(H57&lt;30,"Easy",IF(H57&lt;50,"Medium",IF(H57&lt;70,"Hard","Very hard"))))</f>
        <v>Easy</v>
      </c>
      <c r="L57" s="9" t="s">
        <v>37</v>
      </c>
    </row>
    <row r="58" customFormat="false" ht="15" hidden="false" customHeight="true" outlineLevel="0" collapsed="false">
      <c r="A58" s="9" t="n">
        <v>57</v>
      </c>
      <c r="B58" s="9" t="s">
        <v>24</v>
      </c>
      <c r="C58" s="9" t="s">
        <v>35</v>
      </c>
      <c r="D58" s="9" t="s">
        <v>26</v>
      </c>
      <c r="E58" s="9" t="s">
        <v>95</v>
      </c>
      <c r="F58" s="10" t="n">
        <v>0</v>
      </c>
      <c r="G58" s="11" t="n">
        <v>0</v>
      </c>
      <c r="H58" s="12" t="n">
        <v>10</v>
      </c>
      <c r="I58" s="13"/>
      <c r="J58" s="14" t="n">
        <f aca="false">IF(AND(ISNUMBER(F58),ISNUMBER(G58)),F58*G58,"")</f>
        <v>0</v>
      </c>
      <c r="K58" s="9" t="str">
        <f aca="false">IF(H58="","",IF(H58&lt;30,"Easy",IF(H58&lt;50,"Medium",IF(H58&lt;70,"Hard","Very hard"))))</f>
        <v>Easy</v>
      </c>
      <c r="L58" s="9" t="s">
        <v>37</v>
      </c>
    </row>
    <row r="59" customFormat="false" ht="15" hidden="false" customHeight="true" outlineLevel="0" collapsed="false">
      <c r="A59" s="9" t="n">
        <v>58</v>
      </c>
      <c r="B59" s="9" t="s">
        <v>24</v>
      </c>
      <c r="C59" s="9" t="s">
        <v>35</v>
      </c>
      <c r="D59" s="9" t="s">
        <v>26</v>
      </c>
      <c r="E59" s="9" t="s">
        <v>96</v>
      </c>
      <c r="F59" s="10" t="n">
        <v>0</v>
      </c>
      <c r="G59" s="11" t="n">
        <v>0</v>
      </c>
      <c r="H59" s="12" t="n">
        <v>10</v>
      </c>
      <c r="I59" s="13" t="s">
        <v>40</v>
      </c>
      <c r="J59" s="14" t="n">
        <f aca="false">IF(AND(ISNUMBER(F59),ISNUMBER(G59)),F59*G59,"")</f>
        <v>0</v>
      </c>
      <c r="K59" s="9" t="str">
        <f aca="false">IF(H59="","",IF(H59&lt;30,"Easy",IF(H59&lt;50,"Medium",IF(H59&lt;70,"Hard","Very hard"))))</f>
        <v>Easy</v>
      </c>
      <c r="L59" s="9"/>
    </row>
    <row r="60" customFormat="false" ht="15" hidden="false" customHeight="true" outlineLevel="0" collapsed="false">
      <c r="A60" s="9" t="n">
        <v>59</v>
      </c>
      <c r="B60" s="9" t="s">
        <v>24</v>
      </c>
      <c r="C60" s="9" t="s">
        <v>35</v>
      </c>
      <c r="D60" s="9" t="s">
        <v>26</v>
      </c>
      <c r="E60" s="9" t="s">
        <v>97</v>
      </c>
      <c r="F60" s="10" t="n">
        <v>0</v>
      </c>
      <c r="G60" s="11" t="n">
        <v>0</v>
      </c>
      <c r="H60" s="12" t="n">
        <v>25</v>
      </c>
      <c r="I60" s="13"/>
      <c r="J60" s="14" t="n">
        <f aca="false">IF(AND(ISNUMBER(F60),ISNUMBER(G60)),F60*G60,"")</f>
        <v>0</v>
      </c>
      <c r="K60" s="9" t="str">
        <f aca="false">IF(H60="","",IF(H60&lt;30,"Easy",IF(H60&lt;50,"Medium",IF(H60&lt;70,"Hard","Very hard"))))</f>
        <v>Easy</v>
      </c>
      <c r="L60" s="9" t="s">
        <v>37</v>
      </c>
    </row>
    <row r="61" customFormat="false" ht="15" hidden="false" customHeight="true" outlineLevel="0" collapsed="false">
      <c r="A61" s="9" t="n">
        <v>60</v>
      </c>
      <c r="B61" s="9" t="s">
        <v>24</v>
      </c>
      <c r="C61" s="9" t="s">
        <v>35</v>
      </c>
      <c r="D61" s="9" t="s">
        <v>26</v>
      </c>
      <c r="E61" s="9" t="s">
        <v>98</v>
      </c>
      <c r="F61" s="10" t="n">
        <v>0</v>
      </c>
      <c r="G61" s="11" t="n">
        <v>0</v>
      </c>
      <c r="H61" s="12" t="n">
        <v>23</v>
      </c>
      <c r="I61" s="13"/>
      <c r="J61" s="14" t="n">
        <f aca="false">IF(AND(ISNUMBER(F61),ISNUMBER(G61)),F61*G61,"")</f>
        <v>0</v>
      </c>
      <c r="K61" s="9" t="str">
        <f aca="false">IF(H61="","",IF(H61&lt;30,"Easy",IF(H61&lt;50,"Medium",IF(H61&lt;70,"Hard","Very hard"))))</f>
        <v>Easy</v>
      </c>
      <c r="L61" s="9" t="s">
        <v>37</v>
      </c>
    </row>
    <row r="62" customFormat="false" ht="15" hidden="false" customHeight="true" outlineLevel="0" collapsed="false">
      <c r="A62" s="9" t="n">
        <v>61</v>
      </c>
      <c r="B62" s="9" t="s">
        <v>24</v>
      </c>
      <c r="C62" s="9" t="s">
        <v>35</v>
      </c>
      <c r="D62" s="9" t="s">
        <v>26</v>
      </c>
      <c r="E62" s="9" t="s">
        <v>99</v>
      </c>
      <c r="F62" s="10" t="n">
        <v>0</v>
      </c>
      <c r="G62" s="11" t="n">
        <v>0</v>
      </c>
      <c r="H62" s="12" t="n">
        <v>12</v>
      </c>
      <c r="I62" s="13"/>
      <c r="J62" s="14" t="n">
        <f aca="false">IF(AND(ISNUMBER(F62),ISNUMBER(G62)),F62*G62,"")</f>
        <v>0</v>
      </c>
      <c r="K62" s="9" t="str">
        <f aca="false">IF(H62="","",IF(H62&lt;30,"Easy",IF(H62&lt;50,"Medium",IF(H62&lt;70,"Hard","Very hard"))))</f>
        <v>Easy</v>
      </c>
      <c r="L62" s="9" t="s">
        <v>37</v>
      </c>
    </row>
    <row r="63" customFormat="false" ht="15" hidden="false" customHeight="true" outlineLevel="0" collapsed="false">
      <c r="A63" s="9" t="n">
        <v>62</v>
      </c>
      <c r="B63" s="9" t="s">
        <v>24</v>
      </c>
      <c r="C63" s="9" t="s">
        <v>35</v>
      </c>
      <c r="D63" s="9" t="s">
        <v>26</v>
      </c>
      <c r="E63" s="9" t="s">
        <v>100</v>
      </c>
      <c r="F63" s="10" t="n">
        <v>0</v>
      </c>
      <c r="G63" s="11" t="n">
        <v>0</v>
      </c>
      <c r="H63" s="12" t="n">
        <v>23</v>
      </c>
      <c r="I63" s="13"/>
      <c r="J63" s="14" t="n">
        <f aca="false">IF(AND(ISNUMBER(F63),ISNUMBER(G63)),F63*G63,"")</f>
        <v>0</v>
      </c>
      <c r="K63" s="9" t="str">
        <f aca="false">IF(H63="","",IF(H63&lt;30,"Easy",IF(H63&lt;50,"Medium",IF(H63&lt;70,"Hard","Very hard"))))</f>
        <v>Easy</v>
      </c>
      <c r="L63" s="9" t="s">
        <v>37</v>
      </c>
    </row>
    <row r="64" customFormat="false" ht="15" hidden="false" customHeight="true" outlineLevel="0" collapsed="false">
      <c r="A64" s="9" t="n">
        <v>63</v>
      </c>
      <c r="B64" s="9" t="s">
        <v>24</v>
      </c>
      <c r="C64" s="9" t="s">
        <v>35</v>
      </c>
      <c r="D64" s="9" t="s">
        <v>26</v>
      </c>
      <c r="E64" s="9" t="s">
        <v>101</v>
      </c>
      <c r="F64" s="10" t="n">
        <v>0</v>
      </c>
      <c r="G64" s="11" t="n">
        <v>0</v>
      </c>
      <c r="H64" s="12" t="n">
        <v>22</v>
      </c>
      <c r="I64" s="13"/>
      <c r="J64" s="14" t="n">
        <f aca="false">IF(AND(ISNUMBER(F64),ISNUMBER(G64)),F64*G64,"")</f>
        <v>0</v>
      </c>
      <c r="K64" s="9" t="str">
        <f aca="false">IF(H64="","",IF(H64&lt;30,"Easy",IF(H64&lt;50,"Medium",IF(H64&lt;70,"Hard","Very hard"))))</f>
        <v>Easy</v>
      </c>
      <c r="L64" s="9" t="s">
        <v>37</v>
      </c>
    </row>
    <row r="65" customFormat="false" ht="15" hidden="false" customHeight="true" outlineLevel="0" collapsed="false">
      <c r="A65" s="9" t="n">
        <v>64</v>
      </c>
      <c r="B65" s="9" t="s">
        <v>24</v>
      </c>
      <c r="C65" s="9" t="s">
        <v>35</v>
      </c>
      <c r="D65" s="9" t="s">
        <v>26</v>
      </c>
      <c r="E65" s="9" t="s">
        <v>102</v>
      </c>
      <c r="F65" s="10" t="n">
        <v>0</v>
      </c>
      <c r="G65" s="11" t="n">
        <v>0</v>
      </c>
      <c r="H65" s="12" t="n">
        <v>23</v>
      </c>
      <c r="I65" s="13"/>
      <c r="J65" s="14" t="n">
        <f aca="false">IF(AND(ISNUMBER(F65),ISNUMBER(G65)),F65*G65,"")</f>
        <v>0</v>
      </c>
      <c r="K65" s="9" t="str">
        <f aca="false">IF(H65="","",IF(H65&lt;30,"Easy",IF(H65&lt;50,"Medium",IF(H65&lt;70,"Hard","Very hard"))))</f>
        <v>Easy</v>
      </c>
      <c r="L65" s="9" t="s">
        <v>37</v>
      </c>
    </row>
    <row r="66" customFormat="false" ht="15" hidden="false" customHeight="true" outlineLevel="0" collapsed="false">
      <c r="A66" s="9" t="n">
        <v>65</v>
      </c>
      <c r="B66" s="9" t="s">
        <v>24</v>
      </c>
      <c r="C66" s="9" t="s">
        <v>35</v>
      </c>
      <c r="D66" s="9" t="s">
        <v>26</v>
      </c>
      <c r="E66" s="9" t="s">
        <v>103</v>
      </c>
      <c r="F66" s="10" t="n">
        <v>0</v>
      </c>
      <c r="G66" s="11" t="n">
        <v>0</v>
      </c>
      <c r="H66" s="12" t="n">
        <v>28</v>
      </c>
      <c r="I66" s="13"/>
      <c r="J66" s="14" t="n">
        <f aca="false">IF(AND(ISNUMBER(F66),ISNUMBER(G66)),F66*G66,"")</f>
        <v>0</v>
      </c>
      <c r="K66" s="9" t="str">
        <f aca="false">IF(H66="","",IF(H66&lt;30,"Easy",IF(H66&lt;50,"Medium",IF(H66&lt;70,"Hard","Very hard"))))</f>
        <v>Easy</v>
      </c>
      <c r="L66" s="9" t="s">
        <v>37</v>
      </c>
    </row>
    <row r="67" customFormat="false" ht="15" hidden="false" customHeight="true" outlineLevel="0" collapsed="false">
      <c r="A67" s="9" t="n">
        <v>66</v>
      </c>
      <c r="B67" s="9" t="s">
        <v>24</v>
      </c>
      <c r="C67" s="9" t="s">
        <v>25</v>
      </c>
      <c r="D67" s="9" t="s">
        <v>26</v>
      </c>
      <c r="E67" s="9" t="s">
        <v>104</v>
      </c>
      <c r="F67" s="10"/>
      <c r="G67" s="11"/>
      <c r="H67" s="12"/>
      <c r="I67" s="13"/>
      <c r="J67" s="14" t="str">
        <f aca="false">IF(AND(ISNUMBER(F67),ISNUMBER(G67)),F67*G67,"")</f>
        <v/>
      </c>
      <c r="K67" s="9" t="str">
        <f aca="false">IF(H67="","",IF(H67&lt;30,"Easy",IF(H67&lt;50,"Medium",IF(H67&lt;70,"Hard","Very hard"))))</f>
        <v/>
      </c>
      <c r="L67" s="9"/>
    </row>
    <row r="68" customFormat="false" ht="15" hidden="false" customHeight="true" outlineLevel="0" collapsed="false">
      <c r="A68" s="9" t="n">
        <v>67</v>
      </c>
      <c r="B68" s="9" t="s">
        <v>24</v>
      </c>
      <c r="C68" s="9" t="s">
        <v>25</v>
      </c>
      <c r="D68" s="9" t="s">
        <v>26</v>
      </c>
      <c r="E68" s="9" t="s">
        <v>27</v>
      </c>
      <c r="F68" s="10"/>
      <c r="G68" s="11"/>
      <c r="H68" s="12"/>
      <c r="I68" s="13"/>
      <c r="J68" s="14" t="str">
        <f aca="false">IF(AND(ISNUMBER(F68),ISNUMBER(G68)),F68*G68,"")</f>
        <v/>
      </c>
      <c r="K68" s="9" t="str">
        <f aca="false">IF(H68="","",IF(H68&lt;30,"Easy",IF(H68&lt;50,"Medium",IF(H68&lt;70,"Hard","Very hard"))))</f>
        <v/>
      </c>
      <c r="L68" s="9"/>
    </row>
    <row r="69" customFormat="false" ht="15" hidden="false" customHeight="true" outlineLevel="0" collapsed="false">
      <c r="A69" s="9" t="n">
        <v>68</v>
      </c>
      <c r="B69" s="9" t="s">
        <v>24</v>
      </c>
      <c r="C69" s="9" t="s">
        <v>25</v>
      </c>
      <c r="D69" s="9" t="s">
        <v>26</v>
      </c>
      <c r="E69" s="9" t="s">
        <v>105</v>
      </c>
      <c r="F69" s="10"/>
      <c r="G69" s="11"/>
      <c r="H69" s="12"/>
      <c r="I69" s="13"/>
      <c r="J69" s="14" t="str">
        <f aca="false">IF(AND(ISNUMBER(F69),ISNUMBER(G69)),F69*G69,"")</f>
        <v/>
      </c>
      <c r="K69" s="9" t="str">
        <f aca="false">IF(H69="","",IF(H69&lt;30,"Easy",IF(H69&lt;50,"Medium",IF(H69&lt;70,"Hard","Very hard"))))</f>
        <v/>
      </c>
      <c r="L69" s="9"/>
    </row>
    <row r="70" customFormat="false" ht="15" hidden="false" customHeight="true" outlineLevel="0" collapsed="false">
      <c r="A70" s="9" t="n">
        <v>69</v>
      </c>
      <c r="B70" s="9" t="s">
        <v>24</v>
      </c>
      <c r="C70" s="9" t="s">
        <v>25</v>
      </c>
      <c r="D70" s="9" t="s">
        <v>26</v>
      </c>
      <c r="E70" s="9" t="s">
        <v>106</v>
      </c>
      <c r="F70" s="10"/>
      <c r="G70" s="11"/>
      <c r="H70" s="12"/>
      <c r="I70" s="13"/>
      <c r="J70" s="14" t="str">
        <f aca="false">IF(AND(ISNUMBER(F70),ISNUMBER(G70)),F70*G70,"")</f>
        <v/>
      </c>
      <c r="K70" s="9" t="str">
        <f aca="false">IF(H70="","",IF(H70&lt;30,"Easy",IF(H70&lt;50,"Medium",IF(H70&lt;70,"Hard","Very hard"))))</f>
        <v/>
      </c>
      <c r="L70" s="9"/>
    </row>
    <row r="71" customFormat="false" ht="15" hidden="false" customHeight="true" outlineLevel="0" collapsed="false">
      <c r="A71" s="9" t="n">
        <v>70</v>
      </c>
      <c r="B71" s="9" t="s">
        <v>24</v>
      </c>
      <c r="C71" s="9" t="s">
        <v>25</v>
      </c>
      <c r="D71" s="9" t="s">
        <v>26</v>
      </c>
      <c r="E71" s="9" t="s">
        <v>107</v>
      </c>
      <c r="F71" s="10"/>
      <c r="G71" s="11"/>
      <c r="H71" s="12"/>
      <c r="I71" s="13"/>
      <c r="J71" s="14" t="str">
        <f aca="false">IF(AND(ISNUMBER(F71),ISNUMBER(G71)),F71*G71,"")</f>
        <v/>
      </c>
      <c r="K71" s="9" t="str">
        <f aca="false">IF(H71="","",IF(H71&lt;30,"Easy",IF(H71&lt;50,"Medium",IF(H71&lt;70,"Hard","Very hard"))))</f>
        <v/>
      </c>
      <c r="L71" s="9"/>
    </row>
    <row r="72" customFormat="false" ht="15" hidden="false" customHeight="true" outlineLevel="0" collapsed="false">
      <c r="A72" s="9" t="n">
        <v>71</v>
      </c>
      <c r="B72" s="9" t="s">
        <v>24</v>
      </c>
      <c r="C72" s="9" t="s">
        <v>25</v>
      </c>
      <c r="D72" s="9" t="s">
        <v>26</v>
      </c>
      <c r="E72" s="9" t="s">
        <v>108</v>
      </c>
      <c r="F72" s="10"/>
      <c r="G72" s="11"/>
      <c r="H72" s="12"/>
      <c r="I72" s="13"/>
      <c r="J72" s="14" t="str">
        <f aca="false">IF(AND(ISNUMBER(F72),ISNUMBER(G72)),F72*G72,"")</f>
        <v/>
      </c>
      <c r="K72" s="9" t="str">
        <f aca="false">IF(H72="","",IF(H72&lt;30,"Easy",IF(H72&lt;50,"Medium",IF(H72&lt;70,"Hard","Very hard"))))</f>
        <v/>
      </c>
      <c r="L72" s="9"/>
    </row>
    <row r="73" customFormat="false" ht="15" hidden="false" customHeight="true" outlineLevel="0" collapsed="false">
      <c r="A73" s="9" t="n">
        <v>72</v>
      </c>
      <c r="B73" s="9" t="s">
        <v>24</v>
      </c>
      <c r="C73" s="9" t="s">
        <v>25</v>
      </c>
      <c r="D73" s="9" t="s">
        <v>26</v>
      </c>
      <c r="E73" s="9" t="s">
        <v>109</v>
      </c>
      <c r="F73" s="10"/>
      <c r="G73" s="11"/>
      <c r="H73" s="12"/>
      <c r="I73" s="13"/>
      <c r="J73" s="14" t="str">
        <f aca="false">IF(AND(ISNUMBER(F73),ISNUMBER(G73)),F73*G73,"")</f>
        <v/>
      </c>
      <c r="K73" s="9" t="str">
        <f aca="false">IF(H73="","",IF(H73&lt;30,"Easy",IF(H73&lt;50,"Medium",IF(H73&lt;70,"Hard","Very hard"))))</f>
        <v/>
      </c>
      <c r="L73" s="9"/>
    </row>
    <row r="74" customFormat="false" ht="15" hidden="false" customHeight="true" outlineLevel="0" collapsed="false">
      <c r="A74" s="9" t="n">
        <v>73</v>
      </c>
      <c r="B74" s="9" t="s">
        <v>24</v>
      </c>
      <c r="C74" s="9" t="s">
        <v>25</v>
      </c>
      <c r="D74" s="9" t="s">
        <v>26</v>
      </c>
      <c r="E74" s="9" t="s">
        <v>110</v>
      </c>
      <c r="F74" s="10"/>
      <c r="G74" s="11"/>
      <c r="H74" s="12"/>
      <c r="I74" s="13"/>
      <c r="J74" s="14" t="str">
        <f aca="false">IF(AND(ISNUMBER(F74),ISNUMBER(G74)),F74*G74,"")</f>
        <v/>
      </c>
      <c r="K74" s="9" t="str">
        <f aca="false">IF(H74="","",IF(H74&lt;30,"Easy",IF(H74&lt;50,"Medium",IF(H74&lt;70,"Hard","Very hard"))))</f>
        <v/>
      </c>
      <c r="L74" s="9"/>
    </row>
    <row r="75" customFormat="false" ht="15" hidden="false" customHeight="true" outlineLevel="0" collapsed="false">
      <c r="A75" s="9" t="n">
        <v>74</v>
      </c>
      <c r="B75" s="9" t="s">
        <v>24</v>
      </c>
      <c r="C75" s="9" t="s">
        <v>25</v>
      </c>
      <c r="D75" s="9" t="s">
        <v>26</v>
      </c>
      <c r="E75" s="9" t="s">
        <v>111</v>
      </c>
      <c r="F75" s="10"/>
      <c r="G75" s="11"/>
      <c r="H75" s="12"/>
      <c r="I75" s="13"/>
      <c r="J75" s="14" t="str">
        <f aca="false">IF(AND(ISNUMBER(F75),ISNUMBER(G75)),F75*G75,"")</f>
        <v/>
      </c>
      <c r="K75" s="9" t="str">
        <f aca="false">IF(H75="","",IF(H75&lt;30,"Easy",IF(H75&lt;50,"Medium",IF(H75&lt;70,"Hard","Very hard"))))</f>
        <v/>
      </c>
      <c r="L75" s="9"/>
    </row>
    <row r="76" customFormat="false" ht="15" hidden="false" customHeight="true" outlineLevel="0" collapsed="false">
      <c r="A76" s="9" t="n">
        <v>75</v>
      </c>
      <c r="B76" s="9" t="s">
        <v>24</v>
      </c>
      <c r="C76" s="9" t="s">
        <v>25</v>
      </c>
      <c r="D76" s="9" t="s">
        <v>26</v>
      </c>
      <c r="E76" s="9" t="s">
        <v>112</v>
      </c>
      <c r="F76" s="10"/>
      <c r="G76" s="11"/>
      <c r="H76" s="12"/>
      <c r="I76" s="13"/>
      <c r="J76" s="14" t="str">
        <f aca="false">IF(AND(ISNUMBER(F76),ISNUMBER(G76)),F76*G76,"")</f>
        <v/>
      </c>
      <c r="K76" s="9" t="str">
        <f aca="false">IF(H76="","",IF(H76&lt;30,"Easy",IF(H76&lt;50,"Medium",IF(H76&lt;70,"Hard","Very hard"))))</f>
        <v/>
      </c>
      <c r="L76" s="9"/>
    </row>
    <row r="77" customFormat="false" ht="15" hidden="false" customHeight="true" outlineLevel="0" collapsed="false">
      <c r="A77" s="9" t="n">
        <v>76</v>
      </c>
      <c r="B77" s="9" t="s">
        <v>24</v>
      </c>
      <c r="C77" s="9" t="s">
        <v>25</v>
      </c>
      <c r="D77" s="9" t="s">
        <v>26</v>
      </c>
      <c r="E77" s="9" t="s">
        <v>113</v>
      </c>
      <c r="F77" s="10"/>
      <c r="G77" s="11"/>
      <c r="H77" s="12"/>
      <c r="I77" s="13"/>
      <c r="J77" s="14" t="str">
        <f aca="false">IF(AND(ISNUMBER(F77),ISNUMBER(G77)),F77*G77,"")</f>
        <v/>
      </c>
      <c r="K77" s="9" t="str">
        <f aca="false">IF(H77="","",IF(H77&lt;30,"Easy",IF(H77&lt;50,"Medium",IF(H77&lt;70,"Hard","Very hard"))))</f>
        <v/>
      </c>
      <c r="L77" s="9"/>
    </row>
    <row r="78" customFormat="false" ht="15" hidden="false" customHeight="true" outlineLevel="0" collapsed="false">
      <c r="A78" s="9" t="n">
        <v>77</v>
      </c>
      <c r="B78" s="9" t="s">
        <v>24</v>
      </c>
      <c r="C78" s="9" t="s">
        <v>25</v>
      </c>
      <c r="D78" s="9" t="s">
        <v>26</v>
      </c>
      <c r="E78" s="9" t="s">
        <v>114</v>
      </c>
      <c r="F78" s="10"/>
      <c r="G78" s="11"/>
      <c r="H78" s="12"/>
      <c r="I78" s="13"/>
      <c r="J78" s="14" t="str">
        <f aca="false">IF(AND(ISNUMBER(F78),ISNUMBER(G78)),F78*G78,"")</f>
        <v/>
      </c>
      <c r="K78" s="9" t="str">
        <f aca="false">IF(H78="","",IF(H78&lt;30,"Easy",IF(H78&lt;50,"Medium",IF(H78&lt;70,"Hard","Very hard"))))</f>
        <v/>
      </c>
      <c r="L78" s="9"/>
    </row>
    <row r="79" customFormat="false" ht="15" hidden="false" customHeight="true" outlineLevel="0" collapsed="false">
      <c r="A79" s="9" t="n">
        <v>78</v>
      </c>
      <c r="B79" s="9" t="s">
        <v>24</v>
      </c>
      <c r="C79" s="9" t="s">
        <v>25</v>
      </c>
      <c r="D79" s="9" t="s">
        <v>26</v>
      </c>
      <c r="E79" s="9" t="s">
        <v>115</v>
      </c>
      <c r="F79" s="10"/>
      <c r="G79" s="11"/>
      <c r="H79" s="12"/>
      <c r="I79" s="13"/>
      <c r="J79" s="14" t="str">
        <f aca="false">IF(AND(ISNUMBER(F79),ISNUMBER(G79)),F79*G79,"")</f>
        <v/>
      </c>
      <c r="K79" s="9" t="str">
        <f aca="false">IF(H79="","",IF(H79&lt;30,"Easy",IF(H79&lt;50,"Medium",IF(H79&lt;70,"Hard","Very hard"))))</f>
        <v/>
      </c>
      <c r="L79" s="9"/>
    </row>
    <row r="80" customFormat="false" ht="15" hidden="false" customHeight="true" outlineLevel="0" collapsed="false">
      <c r="A80" s="9" t="n">
        <v>79</v>
      </c>
      <c r="B80" s="9" t="s">
        <v>24</v>
      </c>
      <c r="C80" s="9" t="s">
        <v>25</v>
      </c>
      <c r="D80" s="9" t="s">
        <v>26</v>
      </c>
      <c r="E80" s="9" t="s">
        <v>116</v>
      </c>
      <c r="F80" s="10"/>
      <c r="G80" s="11"/>
      <c r="H80" s="12"/>
      <c r="I80" s="13"/>
      <c r="J80" s="14" t="str">
        <f aca="false">IF(AND(ISNUMBER(F80),ISNUMBER(G80)),F80*G80,"")</f>
        <v/>
      </c>
      <c r="K80" s="9" t="str">
        <f aca="false">IF(H80="","",IF(H80&lt;30,"Easy",IF(H80&lt;50,"Medium",IF(H80&lt;70,"Hard","Very hard"))))</f>
        <v/>
      </c>
      <c r="L80" s="9"/>
    </row>
    <row r="81" customFormat="false" ht="15" hidden="false" customHeight="true" outlineLevel="0" collapsed="false">
      <c r="A81" s="9" t="n">
        <v>80</v>
      </c>
      <c r="B81" s="9" t="s">
        <v>24</v>
      </c>
      <c r="C81" s="9" t="s">
        <v>25</v>
      </c>
      <c r="D81" s="9" t="s">
        <v>26</v>
      </c>
      <c r="E81" s="9" t="s">
        <v>117</v>
      </c>
      <c r="F81" s="10"/>
      <c r="G81" s="11"/>
      <c r="H81" s="12"/>
      <c r="I81" s="13"/>
      <c r="J81" s="14" t="str">
        <f aca="false">IF(AND(ISNUMBER(F81),ISNUMBER(G81)),F81*G81,"")</f>
        <v/>
      </c>
      <c r="K81" s="9" t="str">
        <f aca="false">IF(H81="","",IF(H81&lt;30,"Easy",IF(H81&lt;50,"Medium",IF(H81&lt;70,"Hard","Very hard"))))</f>
        <v/>
      </c>
      <c r="L81" s="9"/>
    </row>
    <row r="82" customFormat="false" ht="15" hidden="false" customHeight="true" outlineLevel="0" collapsed="false">
      <c r="A82" s="9" t="n">
        <v>81</v>
      </c>
      <c r="B82" s="9" t="s">
        <v>24</v>
      </c>
      <c r="C82" s="9" t="s">
        <v>25</v>
      </c>
      <c r="D82" s="9" t="s">
        <v>26</v>
      </c>
      <c r="E82" s="9" t="s">
        <v>118</v>
      </c>
      <c r="F82" s="10"/>
      <c r="G82" s="11"/>
      <c r="H82" s="12"/>
      <c r="I82" s="13"/>
      <c r="J82" s="14" t="str">
        <f aca="false">IF(AND(ISNUMBER(F82),ISNUMBER(G82)),F82*G82,"")</f>
        <v/>
      </c>
      <c r="K82" s="9" t="str">
        <f aca="false">IF(H82="","",IF(H82&lt;30,"Easy",IF(H82&lt;50,"Medium",IF(H82&lt;70,"Hard","Very hard"))))</f>
        <v/>
      </c>
      <c r="L82" s="9"/>
    </row>
    <row r="83" customFormat="false" ht="15" hidden="false" customHeight="true" outlineLevel="0" collapsed="false">
      <c r="A83" s="9" t="n">
        <v>82</v>
      </c>
      <c r="B83" s="9" t="s">
        <v>24</v>
      </c>
      <c r="C83" s="9" t="s">
        <v>25</v>
      </c>
      <c r="D83" s="9" t="s">
        <v>26</v>
      </c>
      <c r="E83" s="9" t="s">
        <v>119</v>
      </c>
      <c r="F83" s="10"/>
      <c r="G83" s="11"/>
      <c r="H83" s="12"/>
      <c r="I83" s="13"/>
      <c r="J83" s="14" t="str">
        <f aca="false">IF(AND(ISNUMBER(F83),ISNUMBER(G83)),F83*G83,"")</f>
        <v/>
      </c>
      <c r="K83" s="9" t="str">
        <f aca="false">IF(H83="","",IF(H83&lt;30,"Easy",IF(H83&lt;50,"Medium",IF(H83&lt;70,"Hard","Very hard"))))</f>
        <v/>
      </c>
      <c r="L83" s="9"/>
    </row>
    <row r="84" customFormat="false" ht="15" hidden="false" customHeight="true" outlineLevel="0" collapsed="false">
      <c r="A84" s="9" t="n">
        <v>83</v>
      </c>
      <c r="B84" s="9" t="s">
        <v>24</v>
      </c>
      <c r="C84" s="9" t="s">
        <v>25</v>
      </c>
      <c r="D84" s="9" t="s">
        <v>26</v>
      </c>
      <c r="E84" s="9" t="s">
        <v>120</v>
      </c>
      <c r="F84" s="10"/>
      <c r="G84" s="11"/>
      <c r="H84" s="12"/>
      <c r="I84" s="13"/>
      <c r="J84" s="14" t="str">
        <f aca="false">IF(AND(ISNUMBER(F84),ISNUMBER(G84)),F84*G84,"")</f>
        <v/>
      </c>
      <c r="K84" s="9" t="str">
        <f aca="false">IF(H84="","",IF(H84&lt;30,"Easy",IF(H84&lt;50,"Medium",IF(H84&lt;70,"Hard","Very hard"))))</f>
        <v/>
      </c>
      <c r="L84" s="9"/>
    </row>
    <row r="85" customFormat="false" ht="15" hidden="false" customHeight="true" outlineLevel="0" collapsed="false">
      <c r="A85" s="9" t="n">
        <v>84</v>
      </c>
      <c r="B85" s="9" t="s">
        <v>24</v>
      </c>
      <c r="C85" s="9" t="s">
        <v>25</v>
      </c>
      <c r="D85" s="9" t="s">
        <v>26</v>
      </c>
      <c r="E85" s="9" t="s">
        <v>121</v>
      </c>
      <c r="F85" s="10"/>
      <c r="G85" s="11"/>
      <c r="H85" s="12"/>
      <c r="I85" s="13"/>
      <c r="J85" s="14" t="str">
        <f aca="false">IF(AND(ISNUMBER(F85),ISNUMBER(G85)),F85*G85,"")</f>
        <v/>
      </c>
      <c r="K85" s="9" t="str">
        <f aca="false">IF(H85="","",IF(H85&lt;30,"Easy",IF(H85&lt;50,"Medium",IF(H85&lt;70,"Hard","Very hard"))))</f>
        <v/>
      </c>
      <c r="L85" s="9"/>
    </row>
    <row r="86" customFormat="false" ht="15" hidden="false" customHeight="true" outlineLevel="0" collapsed="false">
      <c r="A86" s="9" t="n">
        <v>85</v>
      </c>
      <c r="B86" s="9" t="s">
        <v>24</v>
      </c>
      <c r="C86" s="9" t="s">
        <v>25</v>
      </c>
      <c r="D86" s="9" t="s">
        <v>26</v>
      </c>
      <c r="E86" s="9" t="s">
        <v>122</v>
      </c>
      <c r="F86" s="10"/>
      <c r="G86" s="11"/>
      <c r="H86" s="12"/>
      <c r="I86" s="13"/>
      <c r="J86" s="14" t="str">
        <f aca="false">IF(AND(ISNUMBER(F86),ISNUMBER(G86)),F86*G86,"")</f>
        <v/>
      </c>
      <c r="K86" s="9" t="str">
        <f aca="false">IF(H86="","",IF(H86&lt;30,"Easy",IF(H86&lt;50,"Medium",IF(H86&lt;70,"Hard","Very hard"))))</f>
        <v/>
      </c>
      <c r="L86" s="9"/>
    </row>
    <row r="87" customFormat="false" ht="15" hidden="false" customHeight="true" outlineLevel="0" collapsed="false">
      <c r="A87" s="9" t="n">
        <v>86</v>
      </c>
      <c r="B87" s="9" t="s">
        <v>24</v>
      </c>
      <c r="C87" s="9" t="s">
        <v>25</v>
      </c>
      <c r="D87" s="9" t="s">
        <v>26</v>
      </c>
      <c r="E87" s="9" t="s">
        <v>123</v>
      </c>
      <c r="F87" s="10"/>
      <c r="G87" s="11"/>
      <c r="H87" s="12"/>
      <c r="I87" s="13"/>
      <c r="J87" s="14" t="str">
        <f aca="false">IF(AND(ISNUMBER(F87),ISNUMBER(G87)),F87*G87,"")</f>
        <v/>
      </c>
      <c r="K87" s="9" t="str">
        <f aca="false">IF(H87="","",IF(H87&lt;30,"Easy",IF(H87&lt;50,"Medium",IF(H87&lt;70,"Hard","Very hard"))))</f>
        <v/>
      </c>
      <c r="L87" s="9"/>
    </row>
    <row r="88" customFormat="false" ht="15" hidden="false" customHeight="true" outlineLevel="0" collapsed="false">
      <c r="A88" s="9" t="n">
        <v>87</v>
      </c>
      <c r="B88" s="9" t="s">
        <v>24</v>
      </c>
      <c r="C88" s="9" t="s">
        <v>25</v>
      </c>
      <c r="D88" s="9" t="s">
        <v>26</v>
      </c>
      <c r="E88" s="9" t="s">
        <v>124</v>
      </c>
      <c r="F88" s="10"/>
      <c r="G88" s="11"/>
      <c r="H88" s="12"/>
      <c r="I88" s="13"/>
      <c r="J88" s="14" t="str">
        <f aca="false">IF(AND(ISNUMBER(F88),ISNUMBER(G88)),F88*G88,"")</f>
        <v/>
      </c>
      <c r="K88" s="9" t="str">
        <f aca="false">IF(H88="","",IF(H88&lt;30,"Easy",IF(H88&lt;50,"Medium",IF(H88&lt;70,"Hard","Very hard"))))</f>
        <v/>
      </c>
      <c r="L88" s="9"/>
    </row>
    <row r="89" customFormat="false" ht="15" hidden="false" customHeight="true" outlineLevel="0" collapsed="false">
      <c r="A89" s="9" t="n">
        <v>88</v>
      </c>
      <c r="B89" s="9" t="s">
        <v>24</v>
      </c>
      <c r="C89" s="9" t="s">
        <v>25</v>
      </c>
      <c r="D89" s="9" t="s">
        <v>26</v>
      </c>
      <c r="E89" s="9" t="s">
        <v>125</v>
      </c>
      <c r="F89" s="10"/>
      <c r="G89" s="11"/>
      <c r="H89" s="12"/>
      <c r="I89" s="13"/>
      <c r="J89" s="14" t="str">
        <f aca="false">IF(AND(ISNUMBER(F89),ISNUMBER(G89)),F89*G89,"")</f>
        <v/>
      </c>
      <c r="K89" s="9" t="str">
        <f aca="false">IF(H89="","",IF(H89&lt;30,"Easy",IF(H89&lt;50,"Medium",IF(H89&lt;70,"Hard","Very hard"))))</f>
        <v/>
      </c>
      <c r="L89" s="9"/>
    </row>
    <row r="90" customFormat="false" ht="15" hidden="false" customHeight="true" outlineLevel="0" collapsed="false">
      <c r="A90" s="9" t="n">
        <v>89</v>
      </c>
      <c r="B90" s="9" t="s">
        <v>24</v>
      </c>
      <c r="C90" s="9" t="s">
        <v>25</v>
      </c>
      <c r="D90" s="9" t="s">
        <v>26</v>
      </c>
      <c r="E90" s="9" t="s">
        <v>126</v>
      </c>
      <c r="F90" s="10"/>
      <c r="G90" s="11"/>
      <c r="H90" s="12"/>
      <c r="I90" s="13"/>
      <c r="J90" s="14" t="str">
        <f aca="false">IF(AND(ISNUMBER(F90),ISNUMBER(G90)),F90*G90,"")</f>
        <v/>
      </c>
      <c r="K90" s="9" t="str">
        <f aca="false">IF(H90="","",IF(H90&lt;30,"Easy",IF(H90&lt;50,"Medium",IF(H90&lt;70,"Hard","Very hard"))))</f>
        <v/>
      </c>
      <c r="L90" s="9"/>
    </row>
    <row r="91" customFormat="false" ht="15" hidden="false" customHeight="true" outlineLevel="0" collapsed="false">
      <c r="A91" s="9" t="n">
        <v>90</v>
      </c>
      <c r="B91" s="9" t="s">
        <v>24</v>
      </c>
      <c r="C91" s="9" t="s">
        <v>25</v>
      </c>
      <c r="D91" s="9" t="s">
        <v>26</v>
      </c>
      <c r="E91" s="9" t="s">
        <v>127</v>
      </c>
      <c r="F91" s="10"/>
      <c r="G91" s="11"/>
      <c r="H91" s="12"/>
      <c r="I91" s="13"/>
      <c r="J91" s="14" t="str">
        <f aca="false">IF(AND(ISNUMBER(F91),ISNUMBER(G91)),F91*G91,"")</f>
        <v/>
      </c>
      <c r="K91" s="9" t="str">
        <f aca="false">IF(H91="","",IF(H91&lt;30,"Easy",IF(H91&lt;50,"Medium",IF(H91&lt;70,"Hard","Very hard"))))</f>
        <v/>
      </c>
      <c r="L91" s="9"/>
    </row>
    <row r="92" customFormat="false" ht="15" hidden="false" customHeight="true" outlineLevel="0" collapsed="false">
      <c r="A92" s="9" t="n">
        <v>91</v>
      </c>
      <c r="B92" s="9" t="s">
        <v>24</v>
      </c>
      <c r="C92" s="9" t="s">
        <v>25</v>
      </c>
      <c r="D92" s="9" t="s">
        <v>26</v>
      </c>
      <c r="E92" s="9" t="s">
        <v>128</v>
      </c>
      <c r="F92" s="10"/>
      <c r="G92" s="11"/>
      <c r="H92" s="12"/>
      <c r="I92" s="13"/>
      <c r="J92" s="14" t="str">
        <f aca="false">IF(AND(ISNUMBER(F92),ISNUMBER(G92)),F92*G92,"")</f>
        <v/>
      </c>
      <c r="K92" s="9" t="str">
        <f aca="false">IF(H92="","",IF(H92&lt;30,"Easy",IF(H92&lt;50,"Medium",IF(H92&lt;70,"Hard","Very hard"))))</f>
        <v/>
      </c>
      <c r="L92" s="9"/>
    </row>
    <row r="93" customFormat="false" ht="15" hidden="false" customHeight="true" outlineLevel="0" collapsed="false">
      <c r="A93" s="9" t="n">
        <v>92</v>
      </c>
      <c r="B93" s="9" t="s">
        <v>24</v>
      </c>
      <c r="C93" s="9" t="s">
        <v>25</v>
      </c>
      <c r="D93" s="9" t="s">
        <v>26</v>
      </c>
      <c r="E93" s="9" t="s">
        <v>129</v>
      </c>
      <c r="F93" s="10"/>
      <c r="G93" s="11"/>
      <c r="H93" s="12"/>
      <c r="I93" s="13"/>
      <c r="J93" s="14" t="str">
        <f aca="false">IF(AND(ISNUMBER(F93),ISNUMBER(G93)),F93*G93,"")</f>
        <v/>
      </c>
      <c r="K93" s="9" t="str">
        <f aca="false">IF(H93="","",IF(H93&lt;30,"Easy",IF(H93&lt;50,"Medium",IF(H93&lt;70,"Hard","Very hard"))))</f>
        <v/>
      </c>
      <c r="L93" s="9"/>
    </row>
    <row r="94" customFormat="false" ht="15" hidden="false" customHeight="true" outlineLevel="0" collapsed="false">
      <c r="A94" s="9" t="n">
        <v>93</v>
      </c>
      <c r="B94" s="9" t="s">
        <v>24</v>
      </c>
      <c r="C94" s="9" t="s">
        <v>25</v>
      </c>
      <c r="D94" s="9" t="s">
        <v>26</v>
      </c>
      <c r="E94" s="9" t="s">
        <v>130</v>
      </c>
      <c r="F94" s="10"/>
      <c r="G94" s="11"/>
      <c r="H94" s="12"/>
      <c r="I94" s="13"/>
      <c r="J94" s="14" t="str">
        <f aca="false">IF(AND(ISNUMBER(F94),ISNUMBER(G94)),F94*G94,"")</f>
        <v/>
      </c>
      <c r="K94" s="9" t="str">
        <f aca="false">IF(H94="","",IF(H94&lt;30,"Easy",IF(H94&lt;50,"Medium",IF(H94&lt;70,"Hard","Very hard"))))</f>
        <v/>
      </c>
      <c r="L94" s="9"/>
    </row>
    <row r="95" customFormat="false" ht="15" hidden="false" customHeight="true" outlineLevel="0" collapsed="false">
      <c r="A95" s="9" t="n">
        <v>94</v>
      </c>
      <c r="B95" s="9" t="s">
        <v>24</v>
      </c>
      <c r="C95" s="9" t="s">
        <v>25</v>
      </c>
      <c r="D95" s="9" t="s">
        <v>26</v>
      </c>
      <c r="E95" s="9" t="s">
        <v>131</v>
      </c>
      <c r="F95" s="10"/>
      <c r="G95" s="11"/>
      <c r="H95" s="12"/>
      <c r="I95" s="13"/>
      <c r="J95" s="14" t="str">
        <f aca="false">IF(AND(ISNUMBER(F95),ISNUMBER(G95)),F95*G95,"")</f>
        <v/>
      </c>
      <c r="K95" s="9" t="str">
        <f aca="false">IF(H95="","",IF(H95&lt;30,"Easy",IF(H95&lt;50,"Medium",IF(H95&lt;70,"Hard","Very hard"))))</f>
        <v/>
      </c>
      <c r="L95" s="9"/>
    </row>
    <row r="96" customFormat="false" ht="15" hidden="false" customHeight="true" outlineLevel="0" collapsed="false">
      <c r="A96" s="9" t="n">
        <v>95</v>
      </c>
      <c r="B96" s="9" t="s">
        <v>24</v>
      </c>
      <c r="C96" s="9" t="s">
        <v>25</v>
      </c>
      <c r="D96" s="9" t="s">
        <v>26</v>
      </c>
      <c r="E96" s="9" t="s">
        <v>132</v>
      </c>
      <c r="F96" s="10"/>
      <c r="G96" s="11"/>
      <c r="H96" s="12"/>
      <c r="I96" s="13"/>
      <c r="J96" s="14" t="str">
        <f aca="false">IF(AND(ISNUMBER(F96),ISNUMBER(G96)),F96*G96,"")</f>
        <v/>
      </c>
      <c r="K96" s="9" t="str">
        <f aca="false">IF(H96="","",IF(H96&lt;30,"Easy",IF(H96&lt;50,"Medium",IF(H96&lt;70,"Hard","Very hard"))))</f>
        <v/>
      </c>
      <c r="L96" s="9"/>
    </row>
    <row r="97" customFormat="false" ht="15" hidden="false" customHeight="true" outlineLevel="0" collapsed="false">
      <c r="A97" s="9" t="n">
        <v>96</v>
      </c>
      <c r="B97" s="9" t="s">
        <v>24</v>
      </c>
      <c r="C97" s="9" t="s">
        <v>25</v>
      </c>
      <c r="D97" s="9" t="s">
        <v>26</v>
      </c>
      <c r="E97" s="9" t="s">
        <v>133</v>
      </c>
      <c r="F97" s="10"/>
      <c r="G97" s="11"/>
      <c r="H97" s="12"/>
      <c r="I97" s="13"/>
      <c r="J97" s="14" t="str">
        <f aca="false">IF(AND(ISNUMBER(F97),ISNUMBER(G97)),F97*G97,"")</f>
        <v/>
      </c>
      <c r="K97" s="9" t="str">
        <f aca="false">IF(H97="","",IF(H97&lt;30,"Easy",IF(H97&lt;50,"Medium",IF(H97&lt;70,"Hard","Very hard"))))</f>
        <v/>
      </c>
      <c r="L97" s="9"/>
    </row>
    <row r="98" customFormat="false" ht="15" hidden="false" customHeight="true" outlineLevel="0" collapsed="false">
      <c r="A98" s="9" t="n">
        <v>97</v>
      </c>
      <c r="B98" s="9" t="s">
        <v>24</v>
      </c>
      <c r="C98" s="9" t="s">
        <v>25</v>
      </c>
      <c r="D98" s="9" t="s">
        <v>26</v>
      </c>
      <c r="E98" s="9" t="s">
        <v>134</v>
      </c>
      <c r="F98" s="10"/>
      <c r="G98" s="11"/>
      <c r="H98" s="12"/>
      <c r="I98" s="13"/>
      <c r="J98" s="14" t="str">
        <f aca="false">IF(AND(ISNUMBER(F98),ISNUMBER(G98)),F98*G98,"")</f>
        <v/>
      </c>
      <c r="K98" s="9" t="str">
        <f aca="false">IF(H98="","",IF(H98&lt;30,"Easy",IF(H98&lt;50,"Medium",IF(H98&lt;70,"Hard","Very hard"))))</f>
        <v/>
      </c>
      <c r="L98" s="9"/>
    </row>
    <row r="99" customFormat="false" ht="15" hidden="false" customHeight="true" outlineLevel="0" collapsed="false">
      <c r="A99" s="9" t="n">
        <v>98</v>
      </c>
      <c r="B99" s="9" t="s">
        <v>24</v>
      </c>
      <c r="C99" s="9" t="s">
        <v>25</v>
      </c>
      <c r="D99" s="9" t="s">
        <v>26</v>
      </c>
      <c r="E99" s="9" t="s">
        <v>135</v>
      </c>
      <c r="F99" s="10"/>
      <c r="G99" s="11"/>
      <c r="H99" s="12"/>
      <c r="I99" s="13"/>
      <c r="J99" s="14" t="str">
        <f aca="false">IF(AND(ISNUMBER(F99),ISNUMBER(G99)),F99*G99,"")</f>
        <v/>
      </c>
      <c r="K99" s="9" t="str">
        <f aca="false">IF(H99="","",IF(H99&lt;30,"Easy",IF(H99&lt;50,"Medium",IF(H99&lt;70,"Hard","Very hard"))))</f>
        <v/>
      </c>
      <c r="L99" s="9"/>
    </row>
    <row r="100" customFormat="false" ht="15" hidden="false" customHeight="true" outlineLevel="0" collapsed="false">
      <c r="A100" s="9" t="n">
        <v>99</v>
      </c>
      <c r="B100" s="9" t="s">
        <v>24</v>
      </c>
      <c r="C100" s="9" t="s">
        <v>25</v>
      </c>
      <c r="D100" s="9" t="s">
        <v>26</v>
      </c>
      <c r="E100" s="9" t="s">
        <v>136</v>
      </c>
      <c r="F100" s="10"/>
      <c r="G100" s="11"/>
      <c r="H100" s="12"/>
      <c r="I100" s="13"/>
      <c r="J100" s="14" t="str">
        <f aca="false">IF(AND(ISNUMBER(F100),ISNUMBER(G100)),F100*G100,"")</f>
        <v/>
      </c>
      <c r="K100" s="9" t="str">
        <f aca="false">IF(H100="","",IF(H100&lt;30,"Easy",IF(H100&lt;50,"Medium",IF(H100&lt;70,"Hard","Very hard"))))</f>
        <v/>
      </c>
      <c r="L100" s="9"/>
    </row>
    <row r="101" customFormat="false" ht="15" hidden="false" customHeight="true" outlineLevel="0" collapsed="false">
      <c r="A101" s="9" t="n">
        <v>100</v>
      </c>
      <c r="B101" s="9" t="s">
        <v>24</v>
      </c>
      <c r="C101" s="9" t="s">
        <v>25</v>
      </c>
      <c r="D101" s="9" t="s">
        <v>26</v>
      </c>
      <c r="E101" s="9" t="s">
        <v>137</v>
      </c>
      <c r="F101" s="10"/>
      <c r="G101" s="11"/>
      <c r="H101" s="12"/>
      <c r="I101" s="13"/>
      <c r="J101" s="14" t="str">
        <f aca="false">IF(AND(ISNUMBER(F101),ISNUMBER(G101)),F101*G101,"")</f>
        <v/>
      </c>
      <c r="K101" s="9" t="str">
        <f aca="false">IF(H101="","",IF(H101&lt;30,"Easy",IF(H101&lt;50,"Medium",IF(H101&lt;70,"Hard","Very hard"))))</f>
        <v/>
      </c>
      <c r="L101" s="9"/>
    </row>
    <row r="102" customFormat="false" ht="15" hidden="false" customHeight="true" outlineLevel="0" collapsed="false">
      <c r="A102" s="9" t="n">
        <v>101</v>
      </c>
      <c r="B102" s="9" t="s">
        <v>138</v>
      </c>
      <c r="C102" s="9" t="s">
        <v>35</v>
      </c>
      <c r="D102" s="9" t="s">
        <v>26</v>
      </c>
      <c r="E102" s="9" t="s">
        <v>139</v>
      </c>
      <c r="F102" s="10" t="n">
        <v>5400</v>
      </c>
      <c r="G102" s="11" t="n">
        <v>0.32</v>
      </c>
      <c r="H102" s="12" t="n">
        <v>44</v>
      </c>
      <c r="I102" s="13" t="s">
        <v>140</v>
      </c>
      <c r="J102" s="14" t="n">
        <f aca="false">IF(AND(ISNUMBER(F102),ISNUMBER(G102)),F102*G102,"")</f>
        <v>1728</v>
      </c>
      <c r="K102" s="9" t="str">
        <f aca="false">IF(H102="","",IF(H102&lt;30,"Easy",IF(H102&lt;50,"Medium",IF(H102&lt;70,"Hard","Very hard"))))</f>
        <v>Medium</v>
      </c>
      <c r="L102" s="9"/>
    </row>
    <row r="103" customFormat="false" ht="15" hidden="false" customHeight="true" outlineLevel="0" collapsed="false">
      <c r="A103" s="9" t="n">
        <v>102</v>
      </c>
      <c r="B103" s="9" t="s">
        <v>138</v>
      </c>
      <c r="C103" s="9" t="s">
        <v>35</v>
      </c>
      <c r="D103" s="9" t="s">
        <v>26</v>
      </c>
      <c r="E103" s="9" t="s">
        <v>141</v>
      </c>
      <c r="F103" s="10" t="n">
        <v>20</v>
      </c>
      <c r="G103" s="11" t="n">
        <v>0.41</v>
      </c>
      <c r="H103" s="12" t="n">
        <v>40</v>
      </c>
      <c r="I103" s="13" t="s">
        <v>40</v>
      </c>
      <c r="J103" s="14" t="n">
        <f aca="false">IF(AND(ISNUMBER(F103),ISNUMBER(G103)),F103*G103,"")</f>
        <v>8.2</v>
      </c>
      <c r="K103" s="9" t="str">
        <f aca="false">IF(H103="","",IF(H103&lt;30,"Easy",IF(H103&lt;50,"Medium",IF(H103&lt;70,"Hard","Very hard"))))</f>
        <v>Medium</v>
      </c>
      <c r="L103" s="9"/>
    </row>
    <row r="104" customFormat="false" ht="15" hidden="false" customHeight="true" outlineLevel="0" collapsed="false">
      <c r="A104" s="9" t="n">
        <v>103</v>
      </c>
      <c r="B104" s="9" t="s">
        <v>138</v>
      </c>
      <c r="C104" s="9" t="s">
        <v>35</v>
      </c>
      <c r="D104" s="9" t="s">
        <v>26</v>
      </c>
      <c r="E104" s="9" t="s">
        <v>142</v>
      </c>
      <c r="F104" s="10" t="n">
        <v>110</v>
      </c>
      <c r="G104" s="11" t="n">
        <v>0.18</v>
      </c>
      <c r="H104" s="12" t="n">
        <v>31</v>
      </c>
      <c r="I104" s="13" t="s">
        <v>40</v>
      </c>
      <c r="J104" s="14" t="n">
        <f aca="false">IF(AND(ISNUMBER(F104),ISNUMBER(G104)),F104*G104,"")</f>
        <v>19.8</v>
      </c>
      <c r="K104" s="9" t="str">
        <f aca="false">IF(H104="","",IF(H104&lt;30,"Easy",IF(H104&lt;50,"Medium",IF(H104&lt;70,"Hard","Very hard"))))</f>
        <v>Medium</v>
      </c>
      <c r="L104" s="9"/>
    </row>
    <row r="105" customFormat="false" ht="15" hidden="false" customHeight="true" outlineLevel="0" collapsed="false">
      <c r="A105" s="9" t="n">
        <v>104</v>
      </c>
      <c r="B105" s="9" t="s">
        <v>138</v>
      </c>
      <c r="C105" s="9" t="s">
        <v>35</v>
      </c>
      <c r="D105" s="9" t="s">
        <v>26</v>
      </c>
      <c r="E105" s="9" t="s">
        <v>143</v>
      </c>
      <c r="F105" s="10" t="n">
        <v>20</v>
      </c>
      <c r="G105" s="11" t="n">
        <v>0.21</v>
      </c>
      <c r="H105" s="12" t="n">
        <v>38</v>
      </c>
      <c r="I105" s="13" t="s">
        <v>140</v>
      </c>
      <c r="J105" s="14" t="n">
        <f aca="false">IF(AND(ISNUMBER(F105),ISNUMBER(G105)),F105*G105,"")</f>
        <v>4.2</v>
      </c>
      <c r="K105" s="9" t="str">
        <f aca="false">IF(H105="","",IF(H105&lt;30,"Easy",IF(H105&lt;50,"Medium",IF(H105&lt;70,"Hard","Very hard"))))</f>
        <v>Medium</v>
      </c>
      <c r="L105" s="9"/>
    </row>
    <row r="106" customFormat="false" ht="15" hidden="false" customHeight="true" outlineLevel="0" collapsed="false">
      <c r="A106" s="9" t="n">
        <v>105</v>
      </c>
      <c r="B106" s="9" t="s">
        <v>138</v>
      </c>
      <c r="C106" s="9" t="s">
        <v>35</v>
      </c>
      <c r="D106" s="9" t="s">
        <v>26</v>
      </c>
      <c r="E106" s="9" t="s">
        <v>144</v>
      </c>
      <c r="F106" s="10" t="n">
        <v>260</v>
      </c>
      <c r="G106" s="11" t="n">
        <v>0.19</v>
      </c>
      <c r="H106" s="12" t="n">
        <v>53</v>
      </c>
      <c r="I106" s="13" t="s">
        <v>40</v>
      </c>
      <c r="J106" s="14" t="n">
        <f aca="false">IF(AND(ISNUMBER(F106),ISNUMBER(G106)),F106*G106,"")</f>
        <v>49.4</v>
      </c>
      <c r="K106" s="9" t="str">
        <f aca="false">IF(H106="","",IF(H106&lt;30,"Easy",IF(H106&lt;50,"Medium",IF(H106&lt;70,"Hard","Very hard"))))</f>
        <v>Hard</v>
      </c>
      <c r="L106" s="9"/>
    </row>
    <row r="107" customFormat="false" ht="15" hidden="false" customHeight="true" outlineLevel="0" collapsed="false">
      <c r="A107" s="9" t="n">
        <v>106</v>
      </c>
      <c r="B107" s="9" t="s">
        <v>138</v>
      </c>
      <c r="C107" s="9" t="s">
        <v>35</v>
      </c>
      <c r="D107" s="9" t="s">
        <v>26</v>
      </c>
      <c r="E107" s="9" t="s">
        <v>145</v>
      </c>
      <c r="F107" s="10" t="n">
        <v>170</v>
      </c>
      <c r="G107" s="11" t="n">
        <v>0.04</v>
      </c>
      <c r="H107" s="12" t="n">
        <v>34</v>
      </c>
      <c r="I107" s="13" t="s">
        <v>40</v>
      </c>
      <c r="J107" s="14" t="n">
        <f aca="false">IF(AND(ISNUMBER(F107),ISNUMBER(G107)),F107*G107,"")</f>
        <v>6.8</v>
      </c>
      <c r="K107" s="9" t="str">
        <f aca="false">IF(H107="","",IF(H107&lt;30,"Easy",IF(H107&lt;50,"Medium",IF(H107&lt;70,"Hard","Very hard"))))</f>
        <v>Medium</v>
      </c>
      <c r="L107" s="9"/>
    </row>
    <row r="108" customFormat="false" ht="15" hidden="false" customHeight="true" outlineLevel="0" collapsed="false">
      <c r="A108" s="9" t="n">
        <v>107</v>
      </c>
      <c r="B108" s="9" t="s">
        <v>138</v>
      </c>
      <c r="C108" s="9" t="s">
        <v>35</v>
      </c>
      <c r="D108" s="9" t="s">
        <v>26</v>
      </c>
      <c r="E108" s="9" t="s">
        <v>146</v>
      </c>
      <c r="F108" s="10" t="n">
        <v>0</v>
      </c>
      <c r="G108" s="11" t="n">
        <v>0</v>
      </c>
      <c r="H108" s="12" t="n">
        <v>54</v>
      </c>
      <c r="I108" s="13"/>
      <c r="J108" s="14" t="n">
        <f aca="false">IF(AND(ISNUMBER(F108),ISNUMBER(G108)),F108*G108,"")</f>
        <v>0</v>
      </c>
      <c r="K108" s="9" t="str">
        <f aca="false">IF(H108="","",IF(H108&lt;30,"Easy",IF(H108&lt;50,"Medium",IF(H108&lt;70,"Hard","Very hard"))))</f>
        <v>Hard</v>
      </c>
      <c r="L108" s="9" t="s">
        <v>37</v>
      </c>
    </row>
    <row r="109" customFormat="false" ht="15" hidden="false" customHeight="true" outlineLevel="0" collapsed="false">
      <c r="A109" s="9" t="n">
        <v>108</v>
      </c>
      <c r="B109" s="9" t="s">
        <v>138</v>
      </c>
      <c r="C109" s="9" t="s">
        <v>35</v>
      </c>
      <c r="D109" s="9" t="s">
        <v>26</v>
      </c>
      <c r="E109" s="9" t="s">
        <v>147</v>
      </c>
      <c r="F109" s="10" t="n">
        <v>90</v>
      </c>
      <c r="G109" s="11" t="n">
        <v>0.25</v>
      </c>
      <c r="H109" s="12" t="n">
        <v>21</v>
      </c>
      <c r="I109" s="13" t="s">
        <v>40</v>
      </c>
      <c r="J109" s="14" t="n">
        <f aca="false">IF(AND(ISNUMBER(F109),ISNUMBER(G109)),F109*G109,"")</f>
        <v>22.5</v>
      </c>
      <c r="K109" s="9" t="str">
        <f aca="false">IF(H109="","",IF(H109&lt;30,"Easy",IF(H109&lt;50,"Medium",IF(H109&lt;70,"Hard","Very hard"))))</f>
        <v>Easy</v>
      </c>
      <c r="L109" s="9"/>
    </row>
    <row r="110" customFormat="false" ht="15" hidden="false" customHeight="true" outlineLevel="0" collapsed="false">
      <c r="A110" s="9" t="n">
        <v>109</v>
      </c>
      <c r="B110" s="9" t="s">
        <v>138</v>
      </c>
      <c r="C110" s="9" t="s">
        <v>35</v>
      </c>
      <c r="D110" s="9" t="s">
        <v>26</v>
      </c>
      <c r="E110" s="9" t="s">
        <v>148</v>
      </c>
      <c r="F110" s="10" t="n">
        <v>30</v>
      </c>
      <c r="G110" s="11" t="n">
        <v>0</v>
      </c>
      <c r="H110" s="12" t="n">
        <v>26</v>
      </c>
      <c r="I110" s="13" t="s">
        <v>40</v>
      </c>
      <c r="J110" s="14" t="n">
        <f aca="false">IF(AND(ISNUMBER(F110),ISNUMBER(G110)),F110*G110,"")</f>
        <v>0</v>
      </c>
      <c r="K110" s="9" t="str">
        <f aca="false">IF(H110="","",IF(H110&lt;30,"Easy",IF(H110&lt;50,"Medium",IF(H110&lt;70,"Hard","Very hard"))))</f>
        <v>Easy</v>
      </c>
      <c r="L110" s="9"/>
    </row>
    <row r="111" customFormat="false" ht="15" hidden="false" customHeight="true" outlineLevel="0" collapsed="false">
      <c r="A111" s="9" t="n">
        <v>110</v>
      </c>
      <c r="B111" s="9" t="s">
        <v>138</v>
      </c>
      <c r="C111" s="9" t="s">
        <v>35</v>
      </c>
      <c r="D111" s="9" t="s">
        <v>26</v>
      </c>
      <c r="E111" s="9" t="s">
        <v>149</v>
      </c>
      <c r="F111" s="10" t="n">
        <v>720</v>
      </c>
      <c r="G111" s="11" t="n">
        <v>0.61</v>
      </c>
      <c r="H111" s="12" t="n">
        <v>23</v>
      </c>
      <c r="I111" s="13" t="s">
        <v>40</v>
      </c>
      <c r="J111" s="14" t="n">
        <f aca="false">IF(AND(ISNUMBER(F111),ISNUMBER(G111)),F111*G111,"")</f>
        <v>439.2</v>
      </c>
      <c r="K111" s="9" t="str">
        <f aca="false">IF(H111="","",IF(H111&lt;30,"Easy",IF(H111&lt;50,"Medium",IF(H111&lt;70,"Hard","Very hard"))))</f>
        <v>Easy</v>
      </c>
      <c r="L111" s="9"/>
    </row>
    <row r="112" customFormat="false" ht="15" hidden="false" customHeight="true" outlineLevel="0" collapsed="false">
      <c r="A112" s="9" t="n">
        <v>111</v>
      </c>
      <c r="B112" s="9" t="s">
        <v>138</v>
      </c>
      <c r="C112" s="9" t="s">
        <v>35</v>
      </c>
      <c r="D112" s="9" t="s">
        <v>26</v>
      </c>
      <c r="E112" s="9" t="s">
        <v>150</v>
      </c>
      <c r="F112" s="10" t="n">
        <v>170</v>
      </c>
      <c r="G112" s="11" t="n">
        <v>1.77</v>
      </c>
      <c r="H112" s="12" t="n">
        <v>23</v>
      </c>
      <c r="I112" s="13" t="s">
        <v>40</v>
      </c>
      <c r="J112" s="14" t="n">
        <f aca="false">IF(AND(ISNUMBER(F112),ISNUMBER(G112)),F112*G112,"")</f>
        <v>300.9</v>
      </c>
      <c r="K112" s="9" t="str">
        <f aca="false">IF(H112="","",IF(H112&lt;30,"Easy",IF(H112&lt;50,"Medium",IF(H112&lt;70,"Hard","Very hard"))))</f>
        <v>Easy</v>
      </c>
      <c r="L112" s="9"/>
    </row>
    <row r="113" customFormat="false" ht="15" hidden="false" customHeight="true" outlineLevel="0" collapsed="false">
      <c r="A113" s="9" t="n">
        <v>112</v>
      </c>
      <c r="B113" s="9" t="s">
        <v>138</v>
      </c>
      <c r="C113" s="9" t="s">
        <v>35</v>
      </c>
      <c r="D113" s="9" t="s">
        <v>26</v>
      </c>
      <c r="E113" s="9" t="s">
        <v>151</v>
      </c>
      <c r="F113" s="10" t="n">
        <v>20</v>
      </c>
      <c r="G113" s="11" t="n">
        <v>1.21</v>
      </c>
      <c r="H113" s="12" t="n">
        <v>20</v>
      </c>
      <c r="I113" s="13" t="s">
        <v>40</v>
      </c>
      <c r="J113" s="14" t="n">
        <f aca="false">IF(AND(ISNUMBER(F113),ISNUMBER(G113)),F113*G113,"")</f>
        <v>24.2</v>
      </c>
      <c r="K113" s="9" t="str">
        <f aca="false">IF(H113="","",IF(H113&lt;30,"Easy",IF(H113&lt;50,"Medium",IF(H113&lt;70,"Hard","Very hard"))))</f>
        <v>Easy</v>
      </c>
      <c r="L113" s="9"/>
    </row>
    <row r="114" customFormat="false" ht="15" hidden="false" customHeight="true" outlineLevel="0" collapsed="false">
      <c r="A114" s="9" t="n">
        <v>113</v>
      </c>
      <c r="B114" s="9" t="s">
        <v>138</v>
      </c>
      <c r="C114" s="9" t="s">
        <v>35</v>
      </c>
      <c r="D114" s="9" t="s">
        <v>26</v>
      </c>
      <c r="E114" s="9" t="s">
        <v>152</v>
      </c>
      <c r="F114" s="10" t="n">
        <v>0</v>
      </c>
      <c r="G114" s="11" t="n">
        <v>0</v>
      </c>
      <c r="H114" s="12" t="n">
        <v>52</v>
      </c>
      <c r="I114" s="13"/>
      <c r="J114" s="14" t="n">
        <f aca="false">IF(AND(ISNUMBER(F114),ISNUMBER(G114)),F114*G114,"")</f>
        <v>0</v>
      </c>
      <c r="K114" s="9" t="str">
        <f aca="false">IF(H114="","",IF(H114&lt;30,"Easy",IF(H114&lt;50,"Medium",IF(H114&lt;70,"Hard","Very hard"))))</f>
        <v>Hard</v>
      </c>
      <c r="L114" s="9" t="s">
        <v>37</v>
      </c>
    </row>
    <row r="115" customFormat="false" ht="15" hidden="false" customHeight="true" outlineLevel="0" collapsed="false">
      <c r="A115" s="9" t="n">
        <v>114</v>
      </c>
      <c r="B115" s="9" t="s">
        <v>138</v>
      </c>
      <c r="C115" s="9" t="s">
        <v>35</v>
      </c>
      <c r="D115" s="9" t="s">
        <v>26</v>
      </c>
      <c r="E115" s="9" t="s">
        <v>153</v>
      </c>
      <c r="F115" s="10" t="n">
        <v>10</v>
      </c>
      <c r="G115" s="11" t="n">
        <v>0</v>
      </c>
      <c r="H115" s="12" t="n">
        <v>30</v>
      </c>
      <c r="I115" s="13" t="s">
        <v>40</v>
      </c>
      <c r="J115" s="14" t="n">
        <f aca="false">IF(AND(ISNUMBER(F115),ISNUMBER(G115)),F115*G115,"")</f>
        <v>0</v>
      </c>
      <c r="K115" s="9" t="str">
        <f aca="false">IF(H115="","",IF(H115&lt;30,"Easy",IF(H115&lt;50,"Medium",IF(H115&lt;70,"Hard","Very hard"))))</f>
        <v>Medium</v>
      </c>
      <c r="L115" s="9"/>
    </row>
    <row r="116" customFormat="false" ht="15" hidden="false" customHeight="true" outlineLevel="0" collapsed="false">
      <c r="A116" s="9" t="n">
        <v>115</v>
      </c>
      <c r="B116" s="9" t="s">
        <v>138</v>
      </c>
      <c r="C116" s="9" t="s">
        <v>35</v>
      </c>
      <c r="D116" s="9" t="s">
        <v>26</v>
      </c>
      <c r="E116" s="9" t="s">
        <v>154</v>
      </c>
      <c r="F116" s="10" t="n">
        <v>0</v>
      </c>
      <c r="G116" s="11" t="n">
        <v>0</v>
      </c>
      <c r="H116" s="12" t="n">
        <v>30</v>
      </c>
      <c r="I116" s="13"/>
      <c r="J116" s="14" t="n">
        <f aca="false">IF(AND(ISNUMBER(F116),ISNUMBER(G116)),F116*G116,"")</f>
        <v>0</v>
      </c>
      <c r="K116" s="9" t="str">
        <f aca="false">IF(H116="","",IF(H116&lt;30,"Easy",IF(H116&lt;50,"Medium",IF(H116&lt;70,"Hard","Very hard"))))</f>
        <v>Medium</v>
      </c>
      <c r="L116" s="9" t="s">
        <v>37</v>
      </c>
    </row>
    <row r="117" customFormat="false" ht="15" hidden="false" customHeight="true" outlineLevel="0" collapsed="false">
      <c r="A117" s="9" t="n">
        <v>116</v>
      </c>
      <c r="B117" s="9" t="s">
        <v>138</v>
      </c>
      <c r="C117" s="9" t="s">
        <v>35</v>
      </c>
      <c r="D117" s="9" t="s">
        <v>26</v>
      </c>
      <c r="E117" s="9" t="s">
        <v>155</v>
      </c>
      <c r="F117" s="10" t="n">
        <v>0</v>
      </c>
      <c r="G117" s="11" t="n">
        <v>0</v>
      </c>
      <c r="H117" s="12" t="n">
        <v>23</v>
      </c>
      <c r="I117" s="13"/>
      <c r="J117" s="14" t="n">
        <f aca="false">IF(AND(ISNUMBER(F117),ISNUMBER(G117)),F117*G117,"")</f>
        <v>0</v>
      </c>
      <c r="K117" s="9" t="str">
        <f aca="false">IF(H117="","",IF(H117&lt;30,"Easy",IF(H117&lt;50,"Medium",IF(H117&lt;70,"Hard","Very hard"))))</f>
        <v>Easy</v>
      </c>
      <c r="L117" s="9" t="s">
        <v>37</v>
      </c>
    </row>
    <row r="118" customFormat="false" ht="15" hidden="false" customHeight="true" outlineLevel="0" collapsed="false">
      <c r="A118" s="9" t="n">
        <v>117</v>
      </c>
      <c r="B118" s="9" t="s">
        <v>138</v>
      </c>
      <c r="C118" s="9" t="s">
        <v>35</v>
      </c>
      <c r="D118" s="9" t="s">
        <v>26</v>
      </c>
      <c r="E118" s="9" t="s">
        <v>156</v>
      </c>
      <c r="F118" s="10" t="n">
        <v>0</v>
      </c>
      <c r="G118" s="11" t="n">
        <v>0</v>
      </c>
      <c r="H118" s="12" t="n">
        <v>50</v>
      </c>
      <c r="I118" s="13"/>
      <c r="J118" s="14" t="n">
        <f aca="false">IF(AND(ISNUMBER(F118),ISNUMBER(G118)),F118*G118,"")</f>
        <v>0</v>
      </c>
      <c r="K118" s="9" t="str">
        <f aca="false">IF(H118="","",IF(H118&lt;30,"Easy",IF(H118&lt;50,"Medium",IF(H118&lt;70,"Hard","Very hard"))))</f>
        <v>Hard</v>
      </c>
      <c r="L118" s="9" t="s">
        <v>37</v>
      </c>
    </row>
    <row r="119" customFormat="false" ht="15" hidden="false" customHeight="true" outlineLevel="0" collapsed="false">
      <c r="A119" s="9" t="n">
        <v>118</v>
      </c>
      <c r="B119" s="9" t="s">
        <v>138</v>
      </c>
      <c r="C119" s="9" t="s">
        <v>35</v>
      </c>
      <c r="D119" s="9" t="s">
        <v>26</v>
      </c>
      <c r="E119" s="9" t="s">
        <v>157</v>
      </c>
      <c r="F119" s="10" t="n">
        <v>0</v>
      </c>
      <c r="G119" s="11" t="n">
        <v>0</v>
      </c>
      <c r="H119" s="12" t="n">
        <v>41</v>
      </c>
      <c r="I119" s="13"/>
      <c r="J119" s="14" t="n">
        <f aca="false">IF(AND(ISNUMBER(F119),ISNUMBER(G119)),F119*G119,"")</f>
        <v>0</v>
      </c>
      <c r="K119" s="9" t="str">
        <f aca="false">IF(H119="","",IF(H119&lt;30,"Easy",IF(H119&lt;50,"Medium",IF(H119&lt;70,"Hard","Very hard"))))</f>
        <v>Medium</v>
      </c>
      <c r="L119" s="9" t="s">
        <v>37</v>
      </c>
    </row>
    <row r="120" customFormat="false" ht="15" hidden="false" customHeight="true" outlineLevel="0" collapsed="false">
      <c r="A120" s="9" t="n">
        <v>119</v>
      </c>
      <c r="B120" s="9" t="s">
        <v>138</v>
      </c>
      <c r="C120" s="9" t="s">
        <v>35</v>
      </c>
      <c r="D120" s="9" t="s">
        <v>26</v>
      </c>
      <c r="E120" s="9" t="s">
        <v>158</v>
      </c>
      <c r="F120" s="10" t="n">
        <v>0</v>
      </c>
      <c r="G120" s="11" t="n">
        <v>0</v>
      </c>
      <c r="H120" s="12" t="n">
        <v>23</v>
      </c>
      <c r="I120" s="13"/>
      <c r="J120" s="14" t="n">
        <f aca="false">IF(AND(ISNUMBER(F120),ISNUMBER(G120)),F120*G120,"")</f>
        <v>0</v>
      </c>
      <c r="K120" s="9" t="str">
        <f aca="false">IF(H120="","",IF(H120&lt;30,"Easy",IF(H120&lt;50,"Medium",IF(H120&lt;70,"Hard","Very hard"))))</f>
        <v>Easy</v>
      </c>
      <c r="L120" s="9" t="s">
        <v>37</v>
      </c>
    </row>
    <row r="121" customFormat="false" ht="15" hidden="false" customHeight="true" outlineLevel="0" collapsed="false">
      <c r="A121" s="9" t="n">
        <v>120</v>
      </c>
      <c r="B121" s="9" t="s">
        <v>138</v>
      </c>
      <c r="C121" s="9" t="s">
        <v>35</v>
      </c>
      <c r="D121" s="9" t="s">
        <v>26</v>
      </c>
      <c r="E121" s="9" t="s">
        <v>159</v>
      </c>
      <c r="F121" s="10" t="n">
        <v>0</v>
      </c>
      <c r="G121" s="11" t="n">
        <v>0</v>
      </c>
      <c r="H121" s="12" t="n">
        <v>33</v>
      </c>
      <c r="I121" s="13"/>
      <c r="J121" s="14" t="n">
        <f aca="false">IF(AND(ISNUMBER(F121),ISNUMBER(G121)),F121*G121,"")</f>
        <v>0</v>
      </c>
      <c r="K121" s="9" t="str">
        <f aca="false">IF(H121="","",IF(H121&lt;30,"Easy",IF(H121&lt;50,"Medium",IF(H121&lt;70,"Hard","Very hard"))))</f>
        <v>Medium</v>
      </c>
      <c r="L121" s="9" t="s">
        <v>37</v>
      </c>
    </row>
    <row r="122" customFormat="false" ht="15" hidden="false" customHeight="true" outlineLevel="0" collapsed="false">
      <c r="A122" s="9" t="n">
        <v>121</v>
      </c>
      <c r="B122" s="9" t="s">
        <v>138</v>
      </c>
      <c r="C122" s="9" t="s">
        <v>25</v>
      </c>
      <c r="D122" s="9" t="s">
        <v>58</v>
      </c>
      <c r="E122" s="9" t="s">
        <v>160</v>
      </c>
      <c r="F122" s="10"/>
      <c r="G122" s="11"/>
      <c r="H122" s="12"/>
      <c r="I122" s="13"/>
      <c r="J122" s="14" t="str">
        <f aca="false">IF(AND(ISNUMBER(F122),ISNUMBER(G122)),F122*G122,"")</f>
        <v/>
      </c>
      <c r="K122" s="9" t="str">
        <f aca="false">IF(H122="","",IF(H122&lt;30,"Easy",IF(H122&lt;50,"Medium",IF(H122&lt;70,"Hard","Very hard"))))</f>
        <v/>
      </c>
      <c r="L122" s="9"/>
    </row>
    <row r="123" customFormat="false" ht="15" hidden="false" customHeight="true" outlineLevel="0" collapsed="false">
      <c r="A123" s="9" t="n">
        <v>122</v>
      </c>
      <c r="B123" s="9" t="s">
        <v>138</v>
      </c>
      <c r="C123" s="9" t="s">
        <v>25</v>
      </c>
      <c r="D123" s="9" t="s">
        <v>58</v>
      </c>
      <c r="E123" s="9" t="s">
        <v>161</v>
      </c>
      <c r="F123" s="10"/>
      <c r="G123" s="11"/>
      <c r="H123" s="12"/>
      <c r="I123" s="13"/>
      <c r="J123" s="14" t="str">
        <f aca="false">IF(AND(ISNUMBER(F123),ISNUMBER(G123)),F123*G123,"")</f>
        <v/>
      </c>
      <c r="K123" s="9" t="str">
        <f aca="false">IF(H123="","",IF(H123&lt;30,"Easy",IF(H123&lt;50,"Medium",IF(H123&lt;70,"Hard","Very hard"))))</f>
        <v/>
      </c>
      <c r="L123" s="9"/>
    </row>
    <row r="124" customFormat="false" ht="15" hidden="false" customHeight="true" outlineLevel="0" collapsed="false">
      <c r="A124" s="9" t="n">
        <v>123</v>
      </c>
      <c r="B124" s="9" t="s">
        <v>138</v>
      </c>
      <c r="C124" s="9" t="s">
        <v>25</v>
      </c>
      <c r="D124" s="9" t="s">
        <v>58</v>
      </c>
      <c r="E124" s="9" t="s">
        <v>162</v>
      </c>
      <c r="F124" s="10"/>
      <c r="G124" s="11"/>
      <c r="H124" s="12"/>
      <c r="I124" s="13"/>
      <c r="J124" s="14" t="str">
        <f aca="false">IF(AND(ISNUMBER(F124),ISNUMBER(G124)),F124*G124,"")</f>
        <v/>
      </c>
      <c r="K124" s="9" t="str">
        <f aca="false">IF(H124="","",IF(H124&lt;30,"Easy",IF(H124&lt;50,"Medium",IF(H124&lt;70,"Hard","Very hard"))))</f>
        <v/>
      </c>
      <c r="L124" s="9"/>
    </row>
    <row r="125" customFormat="false" ht="15" hidden="false" customHeight="true" outlineLevel="0" collapsed="false">
      <c r="A125" s="9" t="n">
        <v>124</v>
      </c>
      <c r="B125" s="9" t="s">
        <v>138</v>
      </c>
      <c r="C125" s="9" t="s">
        <v>25</v>
      </c>
      <c r="D125" s="9" t="s">
        <v>58</v>
      </c>
      <c r="E125" s="9" t="s">
        <v>163</v>
      </c>
      <c r="F125" s="10"/>
      <c r="G125" s="11"/>
      <c r="H125" s="12"/>
      <c r="I125" s="13"/>
      <c r="J125" s="14" t="str">
        <f aca="false">IF(AND(ISNUMBER(F125),ISNUMBER(G125)),F125*G125,"")</f>
        <v/>
      </c>
      <c r="K125" s="9" t="str">
        <f aca="false">IF(H125="","",IF(H125&lt;30,"Easy",IF(H125&lt;50,"Medium",IF(H125&lt;70,"Hard","Very hard"))))</f>
        <v/>
      </c>
      <c r="L125" s="9"/>
    </row>
    <row r="126" customFormat="false" ht="15" hidden="false" customHeight="true" outlineLevel="0" collapsed="false">
      <c r="A126" s="9" t="n">
        <v>125</v>
      </c>
      <c r="B126" s="9" t="s">
        <v>138</v>
      </c>
      <c r="C126" s="9" t="s">
        <v>25</v>
      </c>
      <c r="D126" s="9" t="s">
        <v>58</v>
      </c>
      <c r="E126" s="9" t="s">
        <v>164</v>
      </c>
      <c r="F126" s="10"/>
      <c r="G126" s="11"/>
      <c r="H126" s="12"/>
      <c r="I126" s="13"/>
      <c r="J126" s="14" t="str">
        <f aca="false">IF(AND(ISNUMBER(F126),ISNUMBER(G126)),F126*G126,"")</f>
        <v/>
      </c>
      <c r="K126" s="9" t="str">
        <f aca="false">IF(H126="","",IF(H126&lt;30,"Easy",IF(H126&lt;50,"Medium",IF(H126&lt;70,"Hard","Very hard"))))</f>
        <v/>
      </c>
      <c r="L126" s="9"/>
    </row>
    <row r="127" customFormat="false" ht="15" hidden="false" customHeight="true" outlineLevel="0" collapsed="false">
      <c r="A127" s="9" t="n">
        <v>126</v>
      </c>
      <c r="B127" s="9" t="s">
        <v>138</v>
      </c>
      <c r="C127" s="9" t="s">
        <v>25</v>
      </c>
      <c r="D127" s="9" t="s">
        <v>58</v>
      </c>
      <c r="E127" s="9" t="s">
        <v>165</v>
      </c>
      <c r="F127" s="10"/>
      <c r="G127" s="11"/>
      <c r="H127" s="12"/>
      <c r="I127" s="13"/>
      <c r="J127" s="14" t="str">
        <f aca="false">IF(AND(ISNUMBER(F127),ISNUMBER(G127)),F127*G127,"")</f>
        <v/>
      </c>
      <c r="K127" s="9" t="str">
        <f aca="false">IF(H127="","",IF(H127&lt;30,"Easy",IF(H127&lt;50,"Medium",IF(H127&lt;70,"Hard","Very hard"))))</f>
        <v/>
      </c>
      <c r="L127" s="9"/>
    </row>
    <row r="128" customFormat="false" ht="15" hidden="false" customHeight="true" outlineLevel="0" collapsed="false">
      <c r="A128" s="9" t="n">
        <v>127</v>
      </c>
      <c r="B128" s="9" t="s">
        <v>138</v>
      </c>
      <c r="C128" s="9" t="s">
        <v>25</v>
      </c>
      <c r="D128" s="9" t="s">
        <v>58</v>
      </c>
      <c r="E128" s="9" t="s">
        <v>166</v>
      </c>
      <c r="F128" s="10"/>
      <c r="G128" s="11"/>
      <c r="H128" s="12"/>
      <c r="I128" s="13"/>
      <c r="J128" s="14" t="str">
        <f aca="false">IF(AND(ISNUMBER(F128),ISNUMBER(G128)),F128*G128,"")</f>
        <v/>
      </c>
      <c r="K128" s="9" t="str">
        <f aca="false">IF(H128="","",IF(H128&lt;30,"Easy",IF(H128&lt;50,"Medium",IF(H128&lt;70,"Hard","Very hard"))))</f>
        <v/>
      </c>
      <c r="L128" s="9"/>
    </row>
    <row r="129" customFormat="false" ht="15" hidden="false" customHeight="true" outlineLevel="0" collapsed="false">
      <c r="A129" s="9" t="n">
        <v>128</v>
      </c>
      <c r="B129" s="9" t="s">
        <v>138</v>
      </c>
      <c r="C129" s="9" t="s">
        <v>25</v>
      </c>
      <c r="D129" s="9" t="s">
        <v>58</v>
      </c>
      <c r="E129" s="9" t="s">
        <v>167</v>
      </c>
      <c r="F129" s="10"/>
      <c r="G129" s="11"/>
      <c r="H129" s="12"/>
      <c r="I129" s="13"/>
      <c r="J129" s="14" t="str">
        <f aca="false">IF(AND(ISNUMBER(F129),ISNUMBER(G129)),F129*G129,"")</f>
        <v/>
      </c>
      <c r="K129" s="9" t="str">
        <f aca="false">IF(H129="","",IF(H129&lt;30,"Easy",IF(H129&lt;50,"Medium",IF(H129&lt;70,"Hard","Very hard"))))</f>
        <v/>
      </c>
      <c r="L129" s="9"/>
    </row>
    <row r="130" customFormat="false" ht="15" hidden="false" customHeight="true" outlineLevel="0" collapsed="false">
      <c r="A130" s="9" t="n">
        <v>129</v>
      </c>
      <c r="B130" s="9" t="s">
        <v>138</v>
      </c>
      <c r="C130" s="9" t="s">
        <v>25</v>
      </c>
      <c r="D130" s="9" t="s">
        <v>58</v>
      </c>
      <c r="E130" s="9" t="s">
        <v>168</v>
      </c>
      <c r="F130" s="10"/>
      <c r="G130" s="11"/>
      <c r="H130" s="12"/>
      <c r="I130" s="13"/>
      <c r="J130" s="14" t="str">
        <f aca="false">IF(AND(ISNUMBER(F130),ISNUMBER(G130)),F130*G130,"")</f>
        <v/>
      </c>
      <c r="K130" s="9" t="str">
        <f aca="false">IF(H130="","",IF(H130&lt;30,"Easy",IF(H130&lt;50,"Medium",IF(H130&lt;70,"Hard","Very hard"))))</f>
        <v/>
      </c>
      <c r="L130" s="9"/>
    </row>
    <row r="131" customFormat="false" ht="15" hidden="false" customHeight="true" outlineLevel="0" collapsed="false">
      <c r="A131" s="9" t="n">
        <v>130</v>
      </c>
      <c r="B131" s="9" t="s">
        <v>138</v>
      </c>
      <c r="C131" s="9" t="s">
        <v>25</v>
      </c>
      <c r="D131" s="9" t="s">
        <v>58</v>
      </c>
      <c r="E131" s="9" t="s">
        <v>169</v>
      </c>
      <c r="F131" s="10"/>
      <c r="G131" s="11"/>
      <c r="H131" s="12"/>
      <c r="I131" s="13"/>
      <c r="J131" s="14" t="str">
        <f aca="false">IF(AND(ISNUMBER(F131),ISNUMBER(G131)),F131*G131,"")</f>
        <v/>
      </c>
      <c r="K131" s="9" t="str">
        <f aca="false">IF(H131="","",IF(H131&lt;30,"Easy",IF(H131&lt;50,"Medium",IF(H131&lt;70,"Hard","Very hard"))))</f>
        <v/>
      </c>
      <c r="L131" s="9"/>
    </row>
    <row r="132" customFormat="false" ht="15" hidden="false" customHeight="true" outlineLevel="0" collapsed="false">
      <c r="A132" s="9" t="n">
        <v>131</v>
      </c>
      <c r="B132" s="9" t="s">
        <v>138</v>
      </c>
      <c r="C132" s="9" t="s">
        <v>25</v>
      </c>
      <c r="D132" s="9" t="s">
        <v>58</v>
      </c>
      <c r="E132" s="9" t="s">
        <v>170</v>
      </c>
      <c r="F132" s="10"/>
      <c r="G132" s="11"/>
      <c r="H132" s="12"/>
      <c r="I132" s="13"/>
      <c r="J132" s="14" t="str">
        <f aca="false">IF(AND(ISNUMBER(F132),ISNUMBER(G132)),F132*G132,"")</f>
        <v/>
      </c>
      <c r="K132" s="9" t="str">
        <f aca="false">IF(H132="","",IF(H132&lt;30,"Easy",IF(H132&lt;50,"Medium",IF(H132&lt;70,"Hard","Very hard"))))</f>
        <v/>
      </c>
      <c r="L132" s="9"/>
    </row>
    <row r="133" customFormat="false" ht="15" hidden="false" customHeight="true" outlineLevel="0" collapsed="false">
      <c r="A133" s="9" t="n">
        <v>132</v>
      </c>
      <c r="B133" s="9" t="s">
        <v>138</v>
      </c>
      <c r="C133" s="9" t="s">
        <v>25</v>
      </c>
      <c r="D133" s="9" t="s">
        <v>58</v>
      </c>
      <c r="E133" s="9" t="s">
        <v>171</v>
      </c>
      <c r="F133" s="10"/>
      <c r="G133" s="11"/>
      <c r="H133" s="12"/>
      <c r="I133" s="13"/>
      <c r="J133" s="14" t="str">
        <f aca="false">IF(AND(ISNUMBER(F133),ISNUMBER(G133)),F133*G133,"")</f>
        <v/>
      </c>
      <c r="K133" s="9" t="str">
        <f aca="false">IF(H133="","",IF(H133&lt;30,"Easy",IF(H133&lt;50,"Medium",IF(H133&lt;70,"Hard","Very hard"))))</f>
        <v/>
      </c>
      <c r="L133" s="9"/>
    </row>
    <row r="134" customFormat="false" ht="15" hidden="false" customHeight="true" outlineLevel="0" collapsed="false">
      <c r="A134" s="9" t="n">
        <v>133</v>
      </c>
      <c r="B134" s="9" t="s">
        <v>138</v>
      </c>
      <c r="C134" s="9" t="s">
        <v>25</v>
      </c>
      <c r="D134" s="9" t="s">
        <v>58</v>
      </c>
      <c r="E134" s="9" t="s">
        <v>172</v>
      </c>
      <c r="F134" s="10"/>
      <c r="G134" s="11"/>
      <c r="H134" s="12"/>
      <c r="I134" s="13"/>
      <c r="J134" s="14" t="str">
        <f aca="false">IF(AND(ISNUMBER(F134),ISNUMBER(G134)),F134*G134,"")</f>
        <v/>
      </c>
      <c r="K134" s="9" t="str">
        <f aca="false">IF(H134="","",IF(H134&lt;30,"Easy",IF(H134&lt;50,"Medium",IF(H134&lt;70,"Hard","Very hard"))))</f>
        <v/>
      </c>
      <c r="L134" s="9"/>
    </row>
    <row r="135" customFormat="false" ht="15" hidden="false" customHeight="true" outlineLevel="0" collapsed="false">
      <c r="A135" s="9" t="n">
        <v>134</v>
      </c>
      <c r="B135" s="9" t="s">
        <v>138</v>
      </c>
      <c r="C135" s="9" t="s">
        <v>25</v>
      </c>
      <c r="D135" s="9" t="s">
        <v>58</v>
      </c>
      <c r="E135" s="9" t="s">
        <v>173</v>
      </c>
      <c r="F135" s="10"/>
      <c r="G135" s="11"/>
      <c r="H135" s="12"/>
      <c r="I135" s="13"/>
      <c r="J135" s="14" t="str">
        <f aca="false">IF(AND(ISNUMBER(F135),ISNUMBER(G135)),F135*G135,"")</f>
        <v/>
      </c>
      <c r="K135" s="9" t="str">
        <f aca="false">IF(H135="","",IF(H135&lt;30,"Easy",IF(H135&lt;50,"Medium",IF(H135&lt;70,"Hard","Very hard"))))</f>
        <v/>
      </c>
      <c r="L135" s="9"/>
    </row>
    <row r="136" customFormat="false" ht="15" hidden="false" customHeight="true" outlineLevel="0" collapsed="false">
      <c r="A136" s="9" t="n">
        <v>135</v>
      </c>
      <c r="B136" s="9" t="s">
        <v>138</v>
      </c>
      <c r="C136" s="9" t="s">
        <v>25</v>
      </c>
      <c r="D136" s="9" t="s">
        <v>58</v>
      </c>
      <c r="E136" s="9" t="s">
        <v>174</v>
      </c>
      <c r="F136" s="10"/>
      <c r="G136" s="11"/>
      <c r="H136" s="12"/>
      <c r="I136" s="13"/>
      <c r="J136" s="14" t="str">
        <f aca="false">IF(AND(ISNUMBER(F136),ISNUMBER(G136)),F136*G136,"")</f>
        <v/>
      </c>
      <c r="K136" s="9" t="str">
        <f aca="false">IF(H136="","",IF(H136&lt;30,"Easy",IF(H136&lt;50,"Medium",IF(H136&lt;70,"Hard","Very hard"))))</f>
        <v/>
      </c>
      <c r="L136" s="9"/>
    </row>
    <row r="137" customFormat="false" ht="15" hidden="false" customHeight="true" outlineLevel="0" collapsed="false">
      <c r="A137" s="9" t="n">
        <v>136</v>
      </c>
      <c r="B137" s="9" t="s">
        <v>138</v>
      </c>
      <c r="C137" s="9" t="s">
        <v>25</v>
      </c>
      <c r="D137" s="9" t="s">
        <v>58</v>
      </c>
      <c r="E137" s="9" t="s">
        <v>175</v>
      </c>
      <c r="F137" s="10"/>
      <c r="G137" s="11"/>
      <c r="H137" s="12"/>
      <c r="I137" s="13"/>
      <c r="J137" s="14" t="str">
        <f aca="false">IF(AND(ISNUMBER(F137),ISNUMBER(G137)),F137*G137,"")</f>
        <v/>
      </c>
      <c r="K137" s="9" t="str">
        <f aca="false">IF(H137="","",IF(H137&lt;30,"Easy",IF(H137&lt;50,"Medium",IF(H137&lt;70,"Hard","Very hard"))))</f>
        <v/>
      </c>
      <c r="L137" s="9"/>
    </row>
    <row r="138" customFormat="false" ht="15" hidden="false" customHeight="true" outlineLevel="0" collapsed="false">
      <c r="A138" s="9" t="n">
        <v>137</v>
      </c>
      <c r="B138" s="9" t="s">
        <v>138</v>
      </c>
      <c r="C138" s="9" t="s">
        <v>25</v>
      </c>
      <c r="D138" s="9" t="s">
        <v>58</v>
      </c>
      <c r="E138" s="9" t="s">
        <v>176</v>
      </c>
      <c r="F138" s="10"/>
      <c r="G138" s="11"/>
      <c r="H138" s="12"/>
      <c r="I138" s="13"/>
      <c r="J138" s="14" t="str">
        <f aca="false">IF(AND(ISNUMBER(F138),ISNUMBER(G138)),F138*G138,"")</f>
        <v/>
      </c>
      <c r="K138" s="9" t="str">
        <f aca="false">IF(H138="","",IF(H138&lt;30,"Easy",IF(H138&lt;50,"Medium",IF(H138&lt;70,"Hard","Very hard"))))</f>
        <v/>
      </c>
      <c r="L138" s="9"/>
    </row>
    <row r="139" customFormat="false" ht="15" hidden="false" customHeight="true" outlineLevel="0" collapsed="false">
      <c r="A139" s="9" t="n">
        <v>138</v>
      </c>
      <c r="B139" s="9" t="s">
        <v>138</v>
      </c>
      <c r="C139" s="9" t="s">
        <v>25</v>
      </c>
      <c r="D139" s="9" t="s">
        <v>58</v>
      </c>
      <c r="E139" s="9" t="s">
        <v>177</v>
      </c>
      <c r="F139" s="10"/>
      <c r="G139" s="11"/>
      <c r="H139" s="12"/>
      <c r="I139" s="13"/>
      <c r="J139" s="14" t="str">
        <f aca="false">IF(AND(ISNUMBER(F139),ISNUMBER(G139)),F139*G139,"")</f>
        <v/>
      </c>
      <c r="K139" s="9" t="str">
        <f aca="false">IF(H139="","",IF(H139&lt;30,"Easy",IF(H139&lt;50,"Medium",IF(H139&lt;70,"Hard","Very hard"))))</f>
        <v/>
      </c>
      <c r="L139" s="9"/>
    </row>
    <row r="140" customFormat="false" ht="15" hidden="false" customHeight="true" outlineLevel="0" collapsed="false">
      <c r="A140" s="9" t="n">
        <v>139</v>
      </c>
      <c r="B140" s="9" t="s">
        <v>138</v>
      </c>
      <c r="C140" s="9" t="s">
        <v>25</v>
      </c>
      <c r="D140" s="9" t="s">
        <v>58</v>
      </c>
      <c r="E140" s="9" t="s">
        <v>178</v>
      </c>
      <c r="F140" s="10"/>
      <c r="G140" s="11"/>
      <c r="H140" s="12"/>
      <c r="I140" s="13"/>
      <c r="J140" s="14" t="str">
        <f aca="false">IF(AND(ISNUMBER(F140),ISNUMBER(G140)),F140*G140,"")</f>
        <v/>
      </c>
      <c r="K140" s="9" t="str">
        <f aca="false">IF(H140="","",IF(H140&lt;30,"Easy",IF(H140&lt;50,"Medium",IF(H140&lt;70,"Hard","Very hard"))))</f>
        <v/>
      </c>
      <c r="L140" s="9"/>
    </row>
    <row r="141" customFormat="false" ht="15" hidden="false" customHeight="true" outlineLevel="0" collapsed="false">
      <c r="A141" s="9" t="n">
        <v>140</v>
      </c>
      <c r="B141" s="9" t="s">
        <v>138</v>
      </c>
      <c r="C141" s="9" t="s">
        <v>25</v>
      </c>
      <c r="D141" s="9" t="s">
        <v>58</v>
      </c>
      <c r="E141" s="9" t="s">
        <v>179</v>
      </c>
      <c r="F141" s="10"/>
      <c r="G141" s="11"/>
      <c r="H141" s="12"/>
      <c r="I141" s="13"/>
      <c r="J141" s="14" t="str">
        <f aca="false">IF(AND(ISNUMBER(F141),ISNUMBER(G141)),F141*G141,"")</f>
        <v/>
      </c>
      <c r="K141" s="9" t="str">
        <f aca="false">IF(H141="","",IF(H141&lt;30,"Easy",IF(H141&lt;50,"Medium",IF(H141&lt;70,"Hard","Very hard"))))</f>
        <v/>
      </c>
      <c r="L141" s="9"/>
    </row>
    <row r="142" customFormat="false" ht="15" hidden="false" customHeight="true" outlineLevel="0" collapsed="false">
      <c r="A142" s="9" t="n">
        <v>141</v>
      </c>
      <c r="B142" s="9" t="s">
        <v>138</v>
      </c>
      <c r="C142" s="9" t="s">
        <v>25</v>
      </c>
      <c r="D142" s="9" t="s">
        <v>58</v>
      </c>
      <c r="E142" s="9" t="s">
        <v>180</v>
      </c>
      <c r="F142" s="10"/>
      <c r="G142" s="11"/>
      <c r="H142" s="12"/>
      <c r="I142" s="13"/>
      <c r="J142" s="14" t="str">
        <f aca="false">IF(AND(ISNUMBER(F142),ISNUMBER(G142)),F142*G142,"")</f>
        <v/>
      </c>
      <c r="K142" s="9" t="str">
        <f aca="false">IF(H142="","",IF(H142&lt;30,"Easy",IF(H142&lt;50,"Medium",IF(H142&lt;70,"Hard","Very hard"))))</f>
        <v/>
      </c>
      <c r="L142" s="9"/>
    </row>
    <row r="143" customFormat="false" ht="15" hidden="false" customHeight="true" outlineLevel="0" collapsed="false">
      <c r="A143" s="9" t="n">
        <v>142</v>
      </c>
      <c r="B143" s="9" t="s">
        <v>138</v>
      </c>
      <c r="C143" s="9" t="s">
        <v>25</v>
      </c>
      <c r="D143" s="9" t="s">
        <v>58</v>
      </c>
      <c r="E143" s="9" t="s">
        <v>181</v>
      </c>
      <c r="F143" s="10"/>
      <c r="G143" s="11"/>
      <c r="H143" s="12"/>
      <c r="I143" s="13"/>
      <c r="J143" s="14" t="str">
        <f aca="false">IF(AND(ISNUMBER(F143),ISNUMBER(G143)),F143*G143,"")</f>
        <v/>
      </c>
      <c r="K143" s="9" t="str">
        <f aca="false">IF(H143="","",IF(H143&lt;30,"Easy",IF(H143&lt;50,"Medium",IF(H143&lt;70,"Hard","Very hard"))))</f>
        <v/>
      </c>
      <c r="L143" s="9"/>
    </row>
    <row r="144" customFormat="false" ht="15" hidden="false" customHeight="true" outlineLevel="0" collapsed="false">
      <c r="A144" s="9" t="n">
        <v>143</v>
      </c>
      <c r="B144" s="9" t="s">
        <v>138</v>
      </c>
      <c r="C144" s="9" t="s">
        <v>25</v>
      </c>
      <c r="D144" s="9" t="s">
        <v>58</v>
      </c>
      <c r="E144" s="9" t="s">
        <v>182</v>
      </c>
      <c r="F144" s="10"/>
      <c r="G144" s="11"/>
      <c r="H144" s="12"/>
      <c r="I144" s="13"/>
      <c r="J144" s="14" t="str">
        <f aca="false">IF(AND(ISNUMBER(F144),ISNUMBER(G144)),F144*G144,"")</f>
        <v/>
      </c>
      <c r="K144" s="9" t="str">
        <f aca="false">IF(H144="","",IF(H144&lt;30,"Easy",IF(H144&lt;50,"Medium",IF(H144&lt;70,"Hard","Very hard"))))</f>
        <v/>
      </c>
      <c r="L144" s="9"/>
    </row>
    <row r="145" customFormat="false" ht="15" hidden="false" customHeight="true" outlineLevel="0" collapsed="false">
      <c r="A145" s="9" t="n">
        <v>144</v>
      </c>
      <c r="B145" s="9" t="s">
        <v>138</v>
      </c>
      <c r="C145" s="9" t="s">
        <v>25</v>
      </c>
      <c r="D145" s="9" t="s">
        <v>58</v>
      </c>
      <c r="E145" s="9" t="s">
        <v>183</v>
      </c>
      <c r="F145" s="10"/>
      <c r="G145" s="11"/>
      <c r="H145" s="12"/>
      <c r="I145" s="13"/>
      <c r="J145" s="14" t="str">
        <f aca="false">IF(AND(ISNUMBER(F145),ISNUMBER(G145)),F145*G145,"")</f>
        <v/>
      </c>
      <c r="K145" s="9" t="str">
        <f aca="false">IF(H145="","",IF(H145&lt;30,"Easy",IF(H145&lt;50,"Medium",IF(H145&lt;70,"Hard","Very hard"))))</f>
        <v/>
      </c>
      <c r="L145" s="9"/>
    </row>
    <row r="146" customFormat="false" ht="15" hidden="false" customHeight="true" outlineLevel="0" collapsed="false">
      <c r="A146" s="9" t="n">
        <v>145</v>
      </c>
      <c r="B146" s="9" t="s">
        <v>138</v>
      </c>
      <c r="C146" s="9" t="s">
        <v>25</v>
      </c>
      <c r="D146" s="9" t="s">
        <v>58</v>
      </c>
      <c r="E146" s="9" t="s">
        <v>184</v>
      </c>
      <c r="F146" s="10"/>
      <c r="G146" s="11"/>
      <c r="H146" s="12"/>
      <c r="I146" s="13"/>
      <c r="J146" s="14" t="str">
        <f aca="false">IF(AND(ISNUMBER(F146),ISNUMBER(G146)),F146*G146,"")</f>
        <v/>
      </c>
      <c r="K146" s="9" t="str">
        <f aca="false">IF(H146="","",IF(H146&lt;30,"Easy",IF(H146&lt;50,"Medium",IF(H146&lt;70,"Hard","Very hard"))))</f>
        <v/>
      </c>
      <c r="L146" s="9"/>
    </row>
    <row r="147" customFormat="false" ht="15" hidden="false" customHeight="true" outlineLevel="0" collapsed="false">
      <c r="A147" s="9" t="n">
        <v>146</v>
      </c>
      <c r="B147" s="9" t="s">
        <v>138</v>
      </c>
      <c r="C147" s="9" t="s">
        <v>25</v>
      </c>
      <c r="D147" s="9" t="s">
        <v>58</v>
      </c>
      <c r="E147" s="9" t="s">
        <v>185</v>
      </c>
      <c r="F147" s="10"/>
      <c r="G147" s="11"/>
      <c r="H147" s="12"/>
      <c r="I147" s="13"/>
      <c r="J147" s="14" t="str">
        <f aca="false">IF(AND(ISNUMBER(F147),ISNUMBER(G147)),F147*G147,"")</f>
        <v/>
      </c>
      <c r="K147" s="9" t="str">
        <f aca="false">IF(H147="","",IF(H147&lt;30,"Easy",IF(H147&lt;50,"Medium",IF(H147&lt;70,"Hard","Very hard"))))</f>
        <v/>
      </c>
      <c r="L147" s="9"/>
    </row>
    <row r="148" customFormat="false" ht="15" hidden="false" customHeight="true" outlineLevel="0" collapsed="false">
      <c r="A148" s="9" t="n">
        <v>147</v>
      </c>
      <c r="B148" s="9" t="s">
        <v>138</v>
      </c>
      <c r="C148" s="9" t="s">
        <v>25</v>
      </c>
      <c r="D148" s="9" t="s">
        <v>58</v>
      </c>
      <c r="E148" s="9" t="s">
        <v>186</v>
      </c>
      <c r="F148" s="10"/>
      <c r="G148" s="11"/>
      <c r="H148" s="12"/>
      <c r="I148" s="13"/>
      <c r="J148" s="14" t="str">
        <f aca="false">IF(AND(ISNUMBER(F148),ISNUMBER(G148)),F148*G148,"")</f>
        <v/>
      </c>
      <c r="K148" s="9" t="str">
        <f aca="false">IF(H148="","",IF(H148&lt;30,"Easy",IF(H148&lt;50,"Medium",IF(H148&lt;70,"Hard","Very hard"))))</f>
        <v/>
      </c>
      <c r="L148" s="9"/>
    </row>
    <row r="149" customFormat="false" ht="15" hidden="false" customHeight="true" outlineLevel="0" collapsed="false">
      <c r="A149" s="9" t="n">
        <v>148</v>
      </c>
      <c r="B149" s="9" t="s">
        <v>138</v>
      </c>
      <c r="C149" s="9" t="s">
        <v>25</v>
      </c>
      <c r="D149" s="9" t="s">
        <v>58</v>
      </c>
      <c r="E149" s="9" t="s">
        <v>187</v>
      </c>
      <c r="F149" s="10"/>
      <c r="G149" s="11"/>
      <c r="H149" s="12"/>
      <c r="I149" s="13"/>
      <c r="J149" s="14" t="str">
        <f aca="false">IF(AND(ISNUMBER(F149),ISNUMBER(G149)),F149*G149,"")</f>
        <v/>
      </c>
      <c r="K149" s="9" t="str">
        <f aca="false">IF(H149="","",IF(H149&lt;30,"Easy",IF(H149&lt;50,"Medium",IF(H149&lt;70,"Hard","Very hard"))))</f>
        <v/>
      </c>
      <c r="L149" s="9"/>
    </row>
    <row r="150" customFormat="false" ht="15" hidden="false" customHeight="true" outlineLevel="0" collapsed="false">
      <c r="A150" s="9" t="n">
        <v>149</v>
      </c>
      <c r="B150" s="9" t="s">
        <v>138</v>
      </c>
      <c r="C150" s="9" t="s">
        <v>25</v>
      </c>
      <c r="D150" s="9" t="s">
        <v>58</v>
      </c>
      <c r="E150" s="9" t="s">
        <v>188</v>
      </c>
      <c r="F150" s="10"/>
      <c r="G150" s="11"/>
      <c r="H150" s="12"/>
      <c r="I150" s="13"/>
      <c r="J150" s="14" t="str">
        <f aca="false">IF(AND(ISNUMBER(F150),ISNUMBER(G150)),F150*G150,"")</f>
        <v/>
      </c>
      <c r="K150" s="9" t="str">
        <f aca="false">IF(H150="","",IF(H150&lt;30,"Easy",IF(H150&lt;50,"Medium",IF(H150&lt;70,"Hard","Very hard"))))</f>
        <v/>
      </c>
      <c r="L150" s="9"/>
    </row>
    <row r="151" customFormat="false" ht="15" hidden="false" customHeight="true" outlineLevel="0" collapsed="false">
      <c r="A151" s="9" t="n">
        <v>150</v>
      </c>
      <c r="B151" s="9" t="s">
        <v>138</v>
      </c>
      <c r="C151" s="9" t="s">
        <v>25</v>
      </c>
      <c r="D151" s="9" t="s">
        <v>58</v>
      </c>
      <c r="E151" s="9" t="s">
        <v>189</v>
      </c>
      <c r="F151" s="10"/>
      <c r="G151" s="11"/>
      <c r="H151" s="12"/>
      <c r="I151" s="13"/>
      <c r="J151" s="14" t="str">
        <f aca="false">IF(AND(ISNUMBER(F151),ISNUMBER(G151)),F151*G151,"")</f>
        <v/>
      </c>
      <c r="K151" s="9" t="str">
        <f aca="false">IF(H151="","",IF(H151&lt;30,"Easy",IF(H151&lt;50,"Medium",IF(H151&lt;70,"Hard","Very hard"))))</f>
        <v/>
      </c>
      <c r="L151" s="9"/>
    </row>
    <row r="152" customFormat="false" ht="15" hidden="false" customHeight="true" outlineLevel="0" collapsed="false">
      <c r="A152" s="9" t="n">
        <v>151</v>
      </c>
      <c r="B152" s="9" t="s">
        <v>190</v>
      </c>
      <c r="C152" s="9" t="s">
        <v>35</v>
      </c>
      <c r="D152" s="9" t="s">
        <v>26</v>
      </c>
      <c r="E152" s="9" t="s">
        <v>191</v>
      </c>
      <c r="F152" s="10" t="n">
        <v>1000</v>
      </c>
      <c r="G152" s="11" t="n">
        <v>0.87</v>
      </c>
      <c r="H152" s="12" t="n">
        <v>27</v>
      </c>
      <c r="I152" s="13" t="s">
        <v>28</v>
      </c>
      <c r="J152" s="14" t="n">
        <f aca="false">IF(AND(ISNUMBER(F152),ISNUMBER(G152)),F152*G152,"")</f>
        <v>870</v>
      </c>
      <c r="K152" s="9" t="str">
        <f aca="false">IF(H152="","",IF(H152&lt;30,"Easy",IF(H152&lt;50,"Medium",IF(H152&lt;70,"Hard","Very hard"))))</f>
        <v>Easy</v>
      </c>
      <c r="L152" s="9"/>
    </row>
    <row r="153" customFormat="false" ht="15" hidden="false" customHeight="true" outlineLevel="0" collapsed="false">
      <c r="A153" s="9" t="n">
        <v>152</v>
      </c>
      <c r="B153" s="9" t="s">
        <v>190</v>
      </c>
      <c r="C153" s="9" t="s">
        <v>35</v>
      </c>
      <c r="D153" s="9" t="s">
        <v>26</v>
      </c>
      <c r="E153" s="9" t="s">
        <v>192</v>
      </c>
      <c r="F153" s="10" t="n">
        <v>170</v>
      </c>
      <c r="G153" s="11" t="n">
        <v>0</v>
      </c>
      <c r="H153" s="12" t="n">
        <v>10</v>
      </c>
      <c r="I153" s="13" t="s">
        <v>28</v>
      </c>
      <c r="J153" s="14" t="n">
        <f aca="false">IF(AND(ISNUMBER(F153),ISNUMBER(G153)),F153*G153,"")</f>
        <v>0</v>
      </c>
      <c r="K153" s="9" t="str">
        <f aca="false">IF(H153="","",IF(H153&lt;30,"Easy",IF(H153&lt;50,"Medium",IF(H153&lt;70,"Hard","Very hard"))))</f>
        <v>Easy</v>
      </c>
      <c r="L153" s="9"/>
    </row>
    <row r="154" customFormat="false" ht="15" hidden="false" customHeight="true" outlineLevel="0" collapsed="false">
      <c r="A154" s="9" t="n">
        <v>153</v>
      </c>
      <c r="B154" s="9" t="s">
        <v>190</v>
      </c>
      <c r="C154" s="9" t="s">
        <v>35</v>
      </c>
      <c r="D154" s="9" t="s">
        <v>26</v>
      </c>
      <c r="E154" s="9" t="s">
        <v>193</v>
      </c>
      <c r="F154" s="10" t="n">
        <v>170</v>
      </c>
      <c r="G154" s="11" t="n">
        <v>0.93</v>
      </c>
      <c r="H154" s="12" t="n">
        <v>21</v>
      </c>
      <c r="I154" s="13" t="s">
        <v>40</v>
      </c>
      <c r="J154" s="14" t="n">
        <f aca="false">IF(AND(ISNUMBER(F154),ISNUMBER(G154)),F154*G154,"")</f>
        <v>158.1</v>
      </c>
      <c r="K154" s="9" t="str">
        <f aca="false">IF(H154="","",IF(H154&lt;30,"Easy",IF(H154&lt;50,"Medium",IF(H154&lt;70,"Hard","Very hard"))))</f>
        <v>Easy</v>
      </c>
      <c r="L154" s="9"/>
    </row>
    <row r="155" customFormat="false" ht="15" hidden="false" customHeight="true" outlineLevel="0" collapsed="false">
      <c r="A155" s="9" t="n">
        <v>154</v>
      </c>
      <c r="B155" s="9" t="s">
        <v>190</v>
      </c>
      <c r="C155" s="9" t="s">
        <v>35</v>
      </c>
      <c r="D155" s="9" t="s">
        <v>26</v>
      </c>
      <c r="E155" s="9" t="s">
        <v>194</v>
      </c>
      <c r="F155" s="10" t="n">
        <v>320</v>
      </c>
      <c r="G155" s="11" t="n">
        <v>1.02</v>
      </c>
      <c r="H155" s="12" t="n">
        <v>21</v>
      </c>
      <c r="I155" s="13" t="s">
        <v>40</v>
      </c>
      <c r="J155" s="14" t="n">
        <f aca="false">IF(AND(ISNUMBER(F155),ISNUMBER(G155)),F155*G155,"")</f>
        <v>326.4</v>
      </c>
      <c r="K155" s="9" t="str">
        <f aca="false">IF(H155="","",IF(H155&lt;30,"Easy",IF(H155&lt;50,"Medium",IF(H155&lt;70,"Hard","Very hard"))))</f>
        <v>Easy</v>
      </c>
      <c r="L155" s="9"/>
    </row>
    <row r="156" customFormat="false" ht="15" hidden="false" customHeight="true" outlineLevel="0" collapsed="false">
      <c r="A156" s="9" t="n">
        <v>155</v>
      </c>
      <c r="B156" s="9" t="s">
        <v>190</v>
      </c>
      <c r="C156" s="9" t="s">
        <v>35</v>
      </c>
      <c r="D156" s="9" t="s">
        <v>26</v>
      </c>
      <c r="E156" s="9" t="s">
        <v>195</v>
      </c>
      <c r="F156" s="10" t="n">
        <v>0</v>
      </c>
      <c r="G156" s="11" t="n">
        <v>0</v>
      </c>
      <c r="H156" s="12" t="n">
        <v>10</v>
      </c>
      <c r="I156" s="13"/>
      <c r="J156" s="14" t="n">
        <f aca="false">IF(AND(ISNUMBER(F156),ISNUMBER(G156)),F156*G156,"")</f>
        <v>0</v>
      </c>
      <c r="K156" s="9" t="str">
        <f aca="false">IF(H156="","",IF(H156&lt;30,"Easy",IF(H156&lt;50,"Medium",IF(H156&lt;70,"Hard","Very hard"))))</f>
        <v>Easy</v>
      </c>
      <c r="L156" s="9" t="s">
        <v>37</v>
      </c>
    </row>
    <row r="157" customFormat="false" ht="15" hidden="false" customHeight="true" outlineLevel="0" collapsed="false">
      <c r="A157" s="9" t="n">
        <v>156</v>
      </c>
      <c r="B157" s="9" t="s">
        <v>190</v>
      </c>
      <c r="C157" s="9" t="s">
        <v>35</v>
      </c>
      <c r="D157" s="9" t="s">
        <v>26</v>
      </c>
      <c r="E157" s="9" t="s">
        <v>196</v>
      </c>
      <c r="F157" s="10" t="n">
        <v>720</v>
      </c>
      <c r="G157" s="11" t="n">
        <v>0</v>
      </c>
      <c r="H157" s="12" t="n">
        <v>22</v>
      </c>
      <c r="I157" s="13" t="s">
        <v>40</v>
      </c>
      <c r="J157" s="14" t="n">
        <f aca="false">IF(AND(ISNUMBER(F157),ISNUMBER(G157)),F157*G157,"")</f>
        <v>0</v>
      </c>
      <c r="K157" s="9" t="str">
        <f aca="false">IF(H157="","",IF(H157&lt;30,"Easy",IF(H157&lt;50,"Medium",IF(H157&lt;70,"Hard","Very hard"))))</f>
        <v>Easy</v>
      </c>
      <c r="L157" s="9"/>
    </row>
    <row r="158" customFormat="false" ht="15" hidden="false" customHeight="true" outlineLevel="0" collapsed="false">
      <c r="A158" s="9" t="n">
        <v>157</v>
      </c>
      <c r="B158" s="9" t="s">
        <v>190</v>
      </c>
      <c r="C158" s="9" t="s">
        <v>35</v>
      </c>
      <c r="D158" s="9" t="s">
        <v>26</v>
      </c>
      <c r="E158" s="9" t="s">
        <v>197</v>
      </c>
      <c r="F158" s="10" t="n">
        <v>40</v>
      </c>
      <c r="G158" s="11" t="n">
        <v>0.91</v>
      </c>
      <c r="H158" s="12" t="n">
        <v>14</v>
      </c>
      <c r="I158" s="13" t="s">
        <v>28</v>
      </c>
      <c r="J158" s="14" t="n">
        <f aca="false">IF(AND(ISNUMBER(F158),ISNUMBER(G158)),F158*G158,"")</f>
        <v>36.4</v>
      </c>
      <c r="K158" s="9" t="str">
        <f aca="false">IF(H158="","",IF(H158&lt;30,"Easy",IF(H158&lt;50,"Medium",IF(H158&lt;70,"Hard","Very hard"))))</f>
        <v>Easy</v>
      </c>
      <c r="L158" s="9"/>
    </row>
    <row r="159" customFormat="false" ht="15" hidden="false" customHeight="true" outlineLevel="0" collapsed="false">
      <c r="A159" s="9" t="n">
        <v>158</v>
      </c>
      <c r="B159" s="9" t="s">
        <v>190</v>
      </c>
      <c r="C159" s="9" t="s">
        <v>35</v>
      </c>
      <c r="D159" s="9" t="s">
        <v>26</v>
      </c>
      <c r="E159" s="9" t="s">
        <v>198</v>
      </c>
      <c r="F159" s="10" t="n">
        <v>260</v>
      </c>
      <c r="G159" s="11" t="n">
        <v>0</v>
      </c>
      <c r="H159" s="12" t="n">
        <v>8</v>
      </c>
      <c r="I159" s="13" t="s">
        <v>40</v>
      </c>
      <c r="J159" s="14" t="n">
        <f aca="false">IF(AND(ISNUMBER(F159),ISNUMBER(G159)),F159*G159,"")</f>
        <v>0</v>
      </c>
      <c r="K159" s="9" t="str">
        <f aca="false">IF(H159="","",IF(H159&lt;30,"Easy",IF(H159&lt;50,"Medium",IF(H159&lt;70,"Hard","Very hard"))))</f>
        <v>Easy</v>
      </c>
      <c r="L159" s="9"/>
    </row>
    <row r="160" customFormat="false" ht="15" hidden="false" customHeight="true" outlineLevel="0" collapsed="false">
      <c r="A160" s="9" t="n">
        <v>159</v>
      </c>
      <c r="B160" s="9" t="s">
        <v>190</v>
      </c>
      <c r="C160" s="9" t="s">
        <v>35</v>
      </c>
      <c r="D160" s="9" t="s">
        <v>26</v>
      </c>
      <c r="E160" s="9" t="s">
        <v>199</v>
      </c>
      <c r="F160" s="10" t="n">
        <v>480</v>
      </c>
      <c r="G160" s="11" t="n">
        <v>0.74</v>
      </c>
      <c r="H160" s="12" t="n">
        <v>11</v>
      </c>
      <c r="I160" s="13" t="s">
        <v>28</v>
      </c>
      <c r="J160" s="14" t="n">
        <f aca="false">IF(AND(ISNUMBER(F160),ISNUMBER(G160)),F160*G160,"")</f>
        <v>355.2</v>
      </c>
      <c r="K160" s="9" t="str">
        <f aca="false">IF(H160="","",IF(H160&lt;30,"Easy",IF(H160&lt;50,"Medium",IF(H160&lt;70,"Hard","Very hard"))))</f>
        <v>Easy</v>
      </c>
      <c r="L160" s="9"/>
    </row>
    <row r="161" customFormat="false" ht="15" hidden="false" customHeight="true" outlineLevel="0" collapsed="false">
      <c r="A161" s="9" t="n">
        <v>160</v>
      </c>
      <c r="B161" s="9" t="s">
        <v>190</v>
      </c>
      <c r="C161" s="9" t="s">
        <v>35</v>
      </c>
      <c r="D161" s="9" t="s">
        <v>26</v>
      </c>
      <c r="E161" s="9" t="s">
        <v>200</v>
      </c>
      <c r="F161" s="10" t="n">
        <v>170</v>
      </c>
      <c r="G161" s="11" t="n">
        <v>0.55</v>
      </c>
      <c r="H161" s="12" t="n">
        <v>16</v>
      </c>
      <c r="I161" s="13" t="s">
        <v>28</v>
      </c>
      <c r="J161" s="14" t="n">
        <f aca="false">IF(AND(ISNUMBER(F161),ISNUMBER(G161)),F161*G161,"")</f>
        <v>93.5</v>
      </c>
      <c r="K161" s="9" t="str">
        <f aca="false">IF(H161="","",IF(H161&lt;30,"Easy",IF(H161&lt;50,"Medium",IF(H161&lt;70,"Hard","Very hard"))))</f>
        <v>Easy</v>
      </c>
      <c r="L161" s="9"/>
    </row>
    <row r="162" customFormat="false" ht="15" hidden="false" customHeight="true" outlineLevel="0" collapsed="false">
      <c r="A162" s="9" t="n">
        <v>161</v>
      </c>
      <c r="B162" s="9" t="s">
        <v>190</v>
      </c>
      <c r="C162" s="9" t="s">
        <v>35</v>
      </c>
      <c r="D162" s="9" t="s">
        <v>26</v>
      </c>
      <c r="E162" s="9" t="s">
        <v>201</v>
      </c>
      <c r="F162" s="10" t="n">
        <v>0</v>
      </c>
      <c r="G162" s="11" t="n">
        <v>0</v>
      </c>
      <c r="H162" s="12" t="n">
        <v>12</v>
      </c>
      <c r="I162" s="13"/>
      <c r="J162" s="14" t="n">
        <f aca="false">IF(AND(ISNUMBER(F162),ISNUMBER(G162)),F162*G162,"")</f>
        <v>0</v>
      </c>
      <c r="K162" s="9" t="str">
        <f aca="false">IF(H162="","",IF(H162&lt;30,"Easy",IF(H162&lt;50,"Medium",IF(H162&lt;70,"Hard","Very hard"))))</f>
        <v>Easy</v>
      </c>
      <c r="L162" s="9" t="s">
        <v>37</v>
      </c>
    </row>
    <row r="163" customFormat="false" ht="15" hidden="false" customHeight="true" outlineLevel="0" collapsed="false">
      <c r="A163" s="9" t="n">
        <v>162</v>
      </c>
      <c r="B163" s="9" t="s">
        <v>190</v>
      </c>
      <c r="C163" s="9" t="s">
        <v>35</v>
      </c>
      <c r="D163" s="9" t="s">
        <v>26</v>
      </c>
      <c r="E163" s="9" t="s">
        <v>202</v>
      </c>
      <c r="F163" s="10" t="n">
        <v>0</v>
      </c>
      <c r="G163" s="11" t="n">
        <v>0</v>
      </c>
      <c r="H163" s="12" t="n">
        <v>17</v>
      </c>
      <c r="I163" s="13"/>
      <c r="J163" s="14" t="n">
        <f aca="false">IF(AND(ISNUMBER(F163),ISNUMBER(G163)),F163*G163,"")</f>
        <v>0</v>
      </c>
      <c r="K163" s="9" t="str">
        <f aca="false">IF(H163="","",IF(H163&lt;30,"Easy",IF(H163&lt;50,"Medium",IF(H163&lt;70,"Hard","Very hard"))))</f>
        <v>Easy</v>
      </c>
      <c r="L163" s="9" t="s">
        <v>37</v>
      </c>
    </row>
    <row r="164" customFormat="false" ht="15" hidden="false" customHeight="true" outlineLevel="0" collapsed="false">
      <c r="A164" s="9" t="n">
        <v>163</v>
      </c>
      <c r="B164" s="9" t="s">
        <v>190</v>
      </c>
      <c r="C164" s="9" t="s">
        <v>35</v>
      </c>
      <c r="D164" s="9" t="s">
        <v>26</v>
      </c>
      <c r="E164" s="9" t="s">
        <v>203</v>
      </c>
      <c r="F164" s="10" t="n">
        <v>320</v>
      </c>
      <c r="G164" s="11" t="n">
        <v>0.82</v>
      </c>
      <c r="H164" s="12" t="n">
        <v>19</v>
      </c>
      <c r="I164" s="13" t="s">
        <v>28</v>
      </c>
      <c r="J164" s="14" t="n">
        <f aca="false">IF(AND(ISNUMBER(F164),ISNUMBER(G164)),F164*G164,"")</f>
        <v>262.4</v>
      </c>
      <c r="K164" s="9" t="str">
        <f aca="false">IF(H164="","",IF(H164&lt;30,"Easy",IF(H164&lt;50,"Medium",IF(H164&lt;70,"Hard","Very hard"))))</f>
        <v>Easy</v>
      </c>
      <c r="L164" s="9"/>
    </row>
    <row r="165" customFormat="false" ht="15" hidden="false" customHeight="true" outlineLevel="0" collapsed="false">
      <c r="A165" s="9" t="n">
        <v>164</v>
      </c>
      <c r="B165" s="9" t="s">
        <v>190</v>
      </c>
      <c r="C165" s="9" t="s">
        <v>35</v>
      </c>
      <c r="D165" s="9" t="s">
        <v>26</v>
      </c>
      <c r="E165" s="9" t="s">
        <v>204</v>
      </c>
      <c r="F165" s="10" t="n">
        <v>20</v>
      </c>
      <c r="G165" s="11" t="n">
        <v>0.69</v>
      </c>
      <c r="H165" s="12" t="n">
        <v>14</v>
      </c>
      <c r="I165" s="13" t="s">
        <v>40</v>
      </c>
      <c r="J165" s="14" t="n">
        <f aca="false">IF(AND(ISNUMBER(F165),ISNUMBER(G165)),F165*G165,"")</f>
        <v>13.8</v>
      </c>
      <c r="K165" s="9" t="str">
        <f aca="false">IF(H165="","",IF(H165&lt;30,"Easy",IF(H165&lt;50,"Medium",IF(H165&lt;70,"Hard","Very hard"))))</f>
        <v>Easy</v>
      </c>
      <c r="L165" s="9"/>
    </row>
    <row r="166" customFormat="false" ht="15" hidden="false" customHeight="true" outlineLevel="0" collapsed="false">
      <c r="A166" s="9" t="n">
        <v>165</v>
      </c>
      <c r="B166" s="9" t="s">
        <v>190</v>
      </c>
      <c r="C166" s="9" t="s">
        <v>35</v>
      </c>
      <c r="D166" s="9" t="s">
        <v>26</v>
      </c>
      <c r="E166" s="9" t="s">
        <v>205</v>
      </c>
      <c r="F166" s="10" t="n">
        <v>0</v>
      </c>
      <c r="G166" s="11" t="n">
        <v>0</v>
      </c>
      <c r="H166" s="12" t="n">
        <v>12</v>
      </c>
      <c r="I166" s="13"/>
      <c r="J166" s="14" t="n">
        <f aca="false">IF(AND(ISNUMBER(F166),ISNUMBER(G166)),F166*G166,"")</f>
        <v>0</v>
      </c>
      <c r="K166" s="9" t="str">
        <f aca="false">IF(H166="","",IF(H166&lt;30,"Easy",IF(H166&lt;50,"Medium",IF(H166&lt;70,"Hard","Very hard"))))</f>
        <v>Easy</v>
      </c>
      <c r="L166" s="9" t="s">
        <v>37</v>
      </c>
    </row>
    <row r="167" customFormat="false" ht="15" hidden="false" customHeight="true" outlineLevel="0" collapsed="false">
      <c r="A167" s="9" t="n">
        <v>166</v>
      </c>
      <c r="B167" s="9" t="s">
        <v>190</v>
      </c>
      <c r="C167" s="9" t="s">
        <v>35</v>
      </c>
      <c r="D167" s="9" t="s">
        <v>26</v>
      </c>
      <c r="E167" s="9" t="s">
        <v>206</v>
      </c>
      <c r="F167" s="10" t="n">
        <v>320</v>
      </c>
      <c r="G167" s="11" t="n">
        <v>0.6</v>
      </c>
      <c r="H167" s="12" t="n">
        <v>12</v>
      </c>
      <c r="I167" s="13" t="s">
        <v>40</v>
      </c>
      <c r="J167" s="14" t="n">
        <f aca="false">IF(AND(ISNUMBER(F167),ISNUMBER(G167)),F167*G167,"")</f>
        <v>192</v>
      </c>
      <c r="K167" s="9" t="str">
        <f aca="false">IF(H167="","",IF(H167&lt;30,"Easy",IF(H167&lt;50,"Medium",IF(H167&lt;70,"Hard","Very hard"))))</f>
        <v>Easy</v>
      </c>
      <c r="L167" s="9"/>
    </row>
    <row r="168" customFormat="false" ht="15" hidden="false" customHeight="true" outlineLevel="0" collapsed="false">
      <c r="A168" s="9" t="n">
        <v>167</v>
      </c>
      <c r="B168" s="9" t="s">
        <v>190</v>
      </c>
      <c r="C168" s="9" t="s">
        <v>35</v>
      </c>
      <c r="D168" s="9" t="s">
        <v>26</v>
      </c>
      <c r="E168" s="9" t="s">
        <v>207</v>
      </c>
      <c r="F168" s="10" t="n">
        <v>0</v>
      </c>
      <c r="G168" s="11" t="n">
        <v>0</v>
      </c>
      <c r="H168" s="12" t="n">
        <v>28</v>
      </c>
      <c r="I168" s="13"/>
      <c r="J168" s="14" t="n">
        <f aca="false">IF(AND(ISNUMBER(F168),ISNUMBER(G168)),F168*G168,"")</f>
        <v>0</v>
      </c>
      <c r="K168" s="9" t="str">
        <f aca="false">IF(H168="","",IF(H168&lt;30,"Easy",IF(H168&lt;50,"Medium",IF(H168&lt;70,"Hard","Very hard"))))</f>
        <v>Easy</v>
      </c>
      <c r="L168" s="9" t="s">
        <v>37</v>
      </c>
    </row>
    <row r="169" customFormat="false" ht="15" hidden="false" customHeight="true" outlineLevel="0" collapsed="false">
      <c r="A169" s="9" t="n">
        <v>168</v>
      </c>
      <c r="B169" s="9" t="s">
        <v>190</v>
      </c>
      <c r="C169" s="9" t="s">
        <v>35</v>
      </c>
      <c r="D169" s="9" t="s">
        <v>26</v>
      </c>
      <c r="E169" s="9" t="s">
        <v>208</v>
      </c>
      <c r="F169" s="10" t="n">
        <v>0</v>
      </c>
      <c r="G169" s="11" t="n">
        <v>0</v>
      </c>
      <c r="H169" s="12" t="n">
        <v>7</v>
      </c>
      <c r="I169" s="13"/>
      <c r="J169" s="14" t="n">
        <f aca="false">IF(AND(ISNUMBER(F169),ISNUMBER(G169)),F169*G169,"")</f>
        <v>0</v>
      </c>
      <c r="K169" s="9" t="str">
        <f aca="false">IF(H169="","",IF(H169&lt;30,"Easy",IF(H169&lt;50,"Medium",IF(H169&lt;70,"Hard","Very hard"))))</f>
        <v>Easy</v>
      </c>
      <c r="L169" s="9" t="s">
        <v>37</v>
      </c>
    </row>
    <row r="170" customFormat="false" ht="15" hidden="false" customHeight="true" outlineLevel="0" collapsed="false">
      <c r="A170" s="9" t="n">
        <v>169</v>
      </c>
      <c r="B170" s="9" t="s">
        <v>190</v>
      </c>
      <c r="C170" s="9" t="s">
        <v>35</v>
      </c>
      <c r="D170" s="9" t="s">
        <v>26</v>
      </c>
      <c r="E170" s="9" t="s">
        <v>209</v>
      </c>
      <c r="F170" s="10" t="n">
        <v>5400</v>
      </c>
      <c r="G170" s="11" t="n">
        <v>0.43</v>
      </c>
      <c r="H170" s="12" t="n">
        <v>17</v>
      </c>
      <c r="I170" s="13" t="s">
        <v>28</v>
      </c>
      <c r="J170" s="14" t="n">
        <f aca="false">IF(AND(ISNUMBER(F170),ISNUMBER(G170)),F170*G170,"")</f>
        <v>2322</v>
      </c>
      <c r="K170" s="9" t="str">
        <f aca="false">IF(H170="","",IF(H170&lt;30,"Easy",IF(H170&lt;50,"Medium",IF(H170&lt;70,"Hard","Very hard"))))</f>
        <v>Easy</v>
      </c>
      <c r="L170" s="9"/>
    </row>
    <row r="171" customFormat="false" ht="15" hidden="false" customHeight="true" outlineLevel="0" collapsed="false">
      <c r="A171" s="9" t="n">
        <v>170</v>
      </c>
      <c r="B171" s="9" t="s">
        <v>190</v>
      </c>
      <c r="C171" s="9" t="s">
        <v>35</v>
      </c>
      <c r="D171" s="9" t="s">
        <v>26</v>
      </c>
      <c r="E171" s="9" t="s">
        <v>210</v>
      </c>
      <c r="F171" s="10" t="n">
        <v>2900</v>
      </c>
      <c r="G171" s="11" t="n">
        <v>0.55</v>
      </c>
      <c r="H171" s="12" t="n">
        <v>31</v>
      </c>
      <c r="I171" s="13" t="s">
        <v>28</v>
      </c>
      <c r="J171" s="14" t="n">
        <f aca="false">IF(AND(ISNUMBER(F171),ISNUMBER(G171)),F171*G171,"")</f>
        <v>1595</v>
      </c>
      <c r="K171" s="9" t="str">
        <f aca="false">IF(H171="","",IF(H171&lt;30,"Easy",IF(H171&lt;50,"Medium",IF(H171&lt;70,"Hard","Very hard"))))</f>
        <v>Medium</v>
      </c>
      <c r="L171" s="9"/>
    </row>
    <row r="172" customFormat="false" ht="15" hidden="false" customHeight="true" outlineLevel="0" collapsed="false">
      <c r="A172" s="9" t="n">
        <v>171</v>
      </c>
      <c r="B172" s="9" t="s">
        <v>190</v>
      </c>
      <c r="C172" s="9" t="s">
        <v>35</v>
      </c>
      <c r="D172" s="9" t="s">
        <v>26</v>
      </c>
      <c r="E172" s="9" t="s">
        <v>211</v>
      </c>
      <c r="F172" s="10" t="n">
        <v>0</v>
      </c>
      <c r="G172" s="11" t="n">
        <v>0</v>
      </c>
      <c r="H172" s="12" t="n">
        <v>10</v>
      </c>
      <c r="I172" s="13"/>
      <c r="J172" s="14" t="n">
        <f aca="false">IF(AND(ISNUMBER(F172),ISNUMBER(G172)),F172*G172,"")</f>
        <v>0</v>
      </c>
      <c r="K172" s="9" t="str">
        <f aca="false">IF(H172="","",IF(H172&lt;30,"Easy",IF(H172&lt;50,"Medium",IF(H172&lt;70,"Hard","Very hard"))))</f>
        <v>Easy</v>
      </c>
      <c r="L172" s="9" t="s">
        <v>37</v>
      </c>
    </row>
    <row r="173" customFormat="false" ht="15" hidden="false" customHeight="true" outlineLevel="0" collapsed="false">
      <c r="A173" s="9" t="n">
        <v>172</v>
      </c>
      <c r="B173" s="9" t="s">
        <v>190</v>
      </c>
      <c r="C173" s="9" t="s">
        <v>35</v>
      </c>
      <c r="D173" s="9" t="s">
        <v>26</v>
      </c>
      <c r="E173" s="9" t="s">
        <v>212</v>
      </c>
      <c r="F173" s="10" t="n">
        <v>0</v>
      </c>
      <c r="G173" s="11" t="n">
        <v>0</v>
      </c>
      <c r="H173" s="12" t="n">
        <v>10</v>
      </c>
      <c r="I173" s="13"/>
      <c r="J173" s="14" t="n">
        <f aca="false">IF(AND(ISNUMBER(F173),ISNUMBER(G173)),F173*G173,"")</f>
        <v>0</v>
      </c>
      <c r="K173" s="9" t="str">
        <f aca="false">IF(H173="","",IF(H173&lt;30,"Easy",IF(H173&lt;50,"Medium",IF(H173&lt;70,"Hard","Very hard"))))</f>
        <v>Easy</v>
      </c>
      <c r="L173" s="9" t="s">
        <v>37</v>
      </c>
    </row>
    <row r="174" customFormat="false" ht="15" hidden="false" customHeight="true" outlineLevel="0" collapsed="false">
      <c r="A174" s="9" t="n">
        <v>173</v>
      </c>
      <c r="B174" s="9" t="s">
        <v>190</v>
      </c>
      <c r="C174" s="9" t="s">
        <v>35</v>
      </c>
      <c r="D174" s="9" t="s">
        <v>26</v>
      </c>
      <c r="E174" s="9" t="s">
        <v>213</v>
      </c>
      <c r="F174" s="10" t="n">
        <v>170</v>
      </c>
      <c r="G174" s="11" t="n">
        <v>0.28</v>
      </c>
      <c r="H174" s="12" t="n">
        <v>6</v>
      </c>
      <c r="I174" s="13" t="s">
        <v>40</v>
      </c>
      <c r="J174" s="14" t="n">
        <f aca="false">IF(AND(ISNUMBER(F174),ISNUMBER(G174)),F174*G174,"")</f>
        <v>47.6</v>
      </c>
      <c r="K174" s="9" t="str">
        <f aca="false">IF(H174="","",IF(H174&lt;30,"Easy",IF(H174&lt;50,"Medium",IF(H174&lt;70,"Hard","Very hard"))))</f>
        <v>Easy</v>
      </c>
      <c r="L174" s="9"/>
    </row>
    <row r="175" customFormat="false" ht="15" hidden="false" customHeight="true" outlineLevel="0" collapsed="false">
      <c r="A175" s="9" t="n">
        <v>174</v>
      </c>
      <c r="B175" s="9" t="s">
        <v>190</v>
      </c>
      <c r="C175" s="9" t="s">
        <v>35</v>
      </c>
      <c r="D175" s="9" t="s">
        <v>26</v>
      </c>
      <c r="E175" s="9" t="s">
        <v>214</v>
      </c>
      <c r="F175" s="10" t="n">
        <v>110</v>
      </c>
      <c r="G175" s="11" t="n">
        <v>0.48</v>
      </c>
      <c r="H175" s="12" t="n">
        <v>37</v>
      </c>
      <c r="I175" s="13" t="s">
        <v>215</v>
      </c>
      <c r="J175" s="14" t="n">
        <f aca="false">IF(AND(ISNUMBER(F175),ISNUMBER(G175)),F175*G175,"")</f>
        <v>52.8</v>
      </c>
      <c r="K175" s="9" t="str">
        <f aca="false">IF(H175="","",IF(H175&lt;30,"Easy",IF(H175&lt;50,"Medium",IF(H175&lt;70,"Hard","Very hard"))))</f>
        <v>Medium</v>
      </c>
      <c r="L175" s="9"/>
    </row>
    <row r="176" customFormat="false" ht="15" hidden="false" customHeight="true" outlineLevel="0" collapsed="false">
      <c r="A176" s="9" t="n">
        <v>175</v>
      </c>
      <c r="B176" s="9" t="s">
        <v>190</v>
      </c>
      <c r="C176" s="9" t="s">
        <v>35</v>
      </c>
      <c r="D176" s="9" t="s">
        <v>26</v>
      </c>
      <c r="E176" s="9" t="s">
        <v>216</v>
      </c>
      <c r="F176" s="10" t="n">
        <v>0</v>
      </c>
      <c r="G176" s="11" t="n">
        <v>0</v>
      </c>
      <c r="H176" s="12" t="n">
        <v>15</v>
      </c>
      <c r="I176" s="13"/>
      <c r="J176" s="14" t="n">
        <f aca="false">IF(AND(ISNUMBER(F176),ISNUMBER(G176)),F176*G176,"")</f>
        <v>0</v>
      </c>
      <c r="K176" s="9" t="str">
        <f aca="false">IF(H176="","",IF(H176&lt;30,"Easy",IF(H176&lt;50,"Medium",IF(H176&lt;70,"Hard","Very hard"))))</f>
        <v>Easy</v>
      </c>
      <c r="L176" s="9" t="s">
        <v>37</v>
      </c>
    </row>
  </sheetData>
  <autoFilter ref="A1:L176"/>
  <dataValidations count="1">
    <dataValidation allowBlank="true" errorStyle="stop" operator="between" showDropDown="false" showErrorMessage="false" showInputMessage="false" sqref="I2:I176" type="list">
      <formula1>"Informational,Navigational,Commercial,Transactional"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2" min="2" style="1" width="14"/>
  </cols>
  <sheetData>
    <row r="1" customFormat="false" ht="15.75" hidden="false" customHeight="true" outlineLevel="0" collapsed="false">
      <c r="A1" s="15" t="s">
        <v>217</v>
      </c>
    </row>
    <row r="2" customFormat="false" ht="15" hidden="false" customHeight="true" outlineLevel="0" collapsed="false">
      <c r="A2" s="16" t="s">
        <v>218</v>
      </c>
    </row>
    <row r="4" customFormat="false" ht="42" hidden="false" customHeight="true" outlineLevel="0" collapsed="false">
      <c r="A4" s="8" t="s">
        <v>16</v>
      </c>
      <c r="B4" s="8" t="s">
        <v>219</v>
      </c>
      <c r="C4" s="8" t="s">
        <v>220</v>
      </c>
      <c r="D4" s="8" t="s">
        <v>221</v>
      </c>
      <c r="E4" s="8" t="s">
        <v>222</v>
      </c>
      <c r="F4" s="8" t="s">
        <v>223</v>
      </c>
      <c r="G4" s="8" t="s">
        <v>224</v>
      </c>
      <c r="H4" s="8" t="s">
        <v>225</v>
      </c>
      <c r="I4" s="8" t="s">
        <v>226</v>
      </c>
      <c r="J4" s="8" t="s">
        <v>227</v>
      </c>
      <c r="K4" s="8" t="s">
        <v>228</v>
      </c>
      <c r="L4" s="8" t="s">
        <v>229</v>
      </c>
    </row>
    <row r="5" customFormat="false" ht="15" hidden="false" customHeight="true" outlineLevel="0" collapsed="false">
      <c r="A5" s="17" t="s">
        <v>34</v>
      </c>
      <c r="B5" s="18" t="n">
        <f aca="false">COUNTIFS(Keywords!$B$2:$B$176,A5)</f>
        <v>50</v>
      </c>
      <c r="C5" s="18" t="n">
        <f aca="false">COUNTIFS(Keywords!$B$2:$B$176,A5,Keywords!$F$2:$F$176,"&lt;&gt;")</f>
        <v>20</v>
      </c>
      <c r="D5" s="19" t="n">
        <f aca="false">IF(C5=0,"",SUMIFS(Keywords!$F$2:$F$176,Keywords!$B$2:$B$176,A5))</f>
        <v>1440</v>
      </c>
      <c r="E5" s="19" t="n">
        <f aca="false">IF(C5=0,"",SUMIFS(Keywords!$F$2:$F$176,Keywords!$B$2:$B$176,A5,Keywords!$C$2:$C$176,"Agency-side"))</f>
        <v>1440</v>
      </c>
      <c r="F5" s="19" t="n">
        <f aca="false">IF(C5=0,"",SUMIFS(Keywords!$F$2:$F$176,Keywords!$B$2:$B$176,A5,Keywords!$C$2:$C$176,"Market-side"))</f>
        <v>0</v>
      </c>
      <c r="G5" s="20" t="n">
        <f aca="false">IF(C5=0,"",IFERROR(J5/D5,""))</f>
        <v>0.769513888888889</v>
      </c>
      <c r="H5" s="18" t="n">
        <f aca="false">IFERROR(AVERAGEIFS(Keywords!$H$2:$H$176,Keywords!$B$2:$B$176,A5,Keywords!$H$2:$H$176,"&lt;&gt;"),"")</f>
        <v>19.25</v>
      </c>
      <c r="I5" s="18" t="n">
        <f aca="false">IFERROR(AVERAGEIFS(Keywords!$H$2:$H$176,Keywords!$B$2:$B$176,A5,Keywords!$C$2:$C$176,"Agency-side",Keywords!$H$2:$H$176,"&lt;&gt;"),"")</f>
        <v>19.25</v>
      </c>
      <c r="J5" s="14" t="n">
        <f aca="false">IF(C5=0,"",SUMIFS(Keywords!$J$2:$J$176,Keywords!$B$2:$B$176,A5))</f>
        <v>1108.1</v>
      </c>
      <c r="K5" s="21" t="n">
        <f aca="false">IF(OR(J5="",H5=""),"",J5/MAX(H5,1))</f>
        <v>57.5636363636364</v>
      </c>
      <c r="L5" s="18" t="n">
        <f aca="false">IF(K5="","",COUNTIF($K$5:$K$8,"&gt;"&amp;K5)+1)</f>
        <v>3</v>
      </c>
    </row>
    <row r="6" customFormat="false" ht="15" hidden="false" customHeight="true" outlineLevel="0" collapsed="false">
      <c r="A6" s="17" t="s">
        <v>24</v>
      </c>
      <c r="B6" s="18" t="n">
        <f aca="false">COUNTIFS(Keywords!$B$2:$B$176,A6)</f>
        <v>50</v>
      </c>
      <c r="C6" s="18" t="n">
        <f aca="false">COUNTIFS(Keywords!$B$2:$B$176,A6,Keywords!$F$2:$F$176,"&lt;&gt;")</f>
        <v>15</v>
      </c>
      <c r="D6" s="19" t="n">
        <f aca="false">IF(C6=0,"",SUMIFS(Keywords!$F$2:$F$176,Keywords!$B$2:$B$176,A6))</f>
        <v>220</v>
      </c>
      <c r="E6" s="19" t="n">
        <f aca="false">IF(C6=0,"",SUMIFS(Keywords!$F$2:$F$176,Keywords!$B$2:$B$176,A6,Keywords!$C$2:$C$176,"Agency-side"))</f>
        <v>220</v>
      </c>
      <c r="F6" s="19" t="n">
        <f aca="false">IF(C6=0,"",SUMIFS(Keywords!$F$2:$F$176,Keywords!$B$2:$B$176,A6,Keywords!$C$2:$C$176,"Market-side"))</f>
        <v>0</v>
      </c>
      <c r="G6" s="20" t="n">
        <f aca="false">IF(C6=0,"",IFERROR(J6/D6,""))</f>
        <v>1.05454545454545</v>
      </c>
      <c r="H6" s="18" t="n">
        <f aca="false">IFERROR(AVERAGEIFS(Keywords!$H$2:$H$176,Keywords!$B$2:$B$176,A6,Keywords!$H$2:$H$176,"&lt;&gt;"),"")</f>
        <v>18</v>
      </c>
      <c r="I6" s="18" t="n">
        <f aca="false">IFERROR(AVERAGEIFS(Keywords!$H$2:$H$176,Keywords!$B$2:$B$176,A6,Keywords!$C$2:$C$176,"Agency-side",Keywords!$H$2:$H$176,"&lt;&gt;"),"")</f>
        <v>18</v>
      </c>
      <c r="J6" s="14" t="n">
        <f aca="false">IF(C6=0,"",SUMIFS(Keywords!$J$2:$J$176,Keywords!$B$2:$B$176,A6))</f>
        <v>232</v>
      </c>
      <c r="K6" s="21" t="n">
        <f aca="false">IF(OR(J6="",H6=""),"",J6/MAX(H6,1))</f>
        <v>12.8888888888889</v>
      </c>
      <c r="L6" s="18" t="n">
        <f aca="false">IF(K6="","",COUNTIF($K$5:$K$8,"&gt;"&amp;K6)+1)</f>
        <v>4</v>
      </c>
    </row>
    <row r="7" customFormat="false" ht="15" hidden="false" customHeight="true" outlineLevel="0" collapsed="false">
      <c r="A7" s="17" t="s">
        <v>138</v>
      </c>
      <c r="B7" s="18" t="n">
        <f aca="false">COUNTIFS(Keywords!$B$2:$B$176,A7)</f>
        <v>50</v>
      </c>
      <c r="C7" s="18" t="n">
        <f aca="false">COUNTIFS(Keywords!$B$2:$B$176,A7,Keywords!$F$2:$F$176,"&lt;&gt;")</f>
        <v>20</v>
      </c>
      <c r="D7" s="19" t="n">
        <f aca="false">IF(C7=0,"",SUMIFS(Keywords!$F$2:$F$176,Keywords!$B$2:$B$176,A7))</f>
        <v>7020</v>
      </c>
      <c r="E7" s="19" t="n">
        <f aca="false">IF(C7=0,"",SUMIFS(Keywords!$F$2:$F$176,Keywords!$B$2:$B$176,A7,Keywords!$C$2:$C$176,"Agency-side"))</f>
        <v>7020</v>
      </c>
      <c r="F7" s="19" t="n">
        <f aca="false">IF(C7=0,"",SUMIFS(Keywords!$F$2:$F$176,Keywords!$B$2:$B$176,A7,Keywords!$C$2:$C$176,"Market-side"))</f>
        <v>0</v>
      </c>
      <c r="G7" s="20" t="n">
        <f aca="false">IF(C7=0,"",IFERROR(J7/D7,""))</f>
        <v>0.370826210826211</v>
      </c>
      <c r="H7" s="18" t="n">
        <f aca="false">IFERROR(AVERAGEIFS(Keywords!$H$2:$H$176,Keywords!$B$2:$B$176,A7,Keywords!$H$2:$H$176,"&lt;&gt;"),"")</f>
        <v>34.45</v>
      </c>
      <c r="I7" s="18" t="n">
        <f aca="false">IFERROR(AVERAGEIFS(Keywords!$H$2:$H$176,Keywords!$B$2:$B$176,A7,Keywords!$C$2:$C$176,"Agency-side",Keywords!$H$2:$H$176,"&lt;&gt;"),"")</f>
        <v>34.45</v>
      </c>
      <c r="J7" s="14" t="n">
        <f aca="false">IF(C7=0,"",SUMIFS(Keywords!$J$2:$J$176,Keywords!$B$2:$B$176,A7))</f>
        <v>2603.2</v>
      </c>
      <c r="K7" s="21" t="n">
        <f aca="false">IF(OR(J7="",H7=""),"",J7/MAX(H7,1))</f>
        <v>75.5645863570392</v>
      </c>
      <c r="L7" s="18" t="n">
        <f aca="false">IF(K7="","",COUNTIF($K$5:$K$8,"&gt;"&amp;K7)+1)</f>
        <v>2</v>
      </c>
    </row>
    <row r="8" customFormat="false" ht="15" hidden="false" customHeight="true" outlineLevel="0" collapsed="false">
      <c r="A8" s="17" t="s">
        <v>190</v>
      </c>
      <c r="B8" s="18" t="n">
        <f aca="false">COUNTIFS(Keywords!$B$2:$B$176,A8)</f>
        <v>25</v>
      </c>
      <c r="C8" s="18" t="n">
        <f aca="false">COUNTIFS(Keywords!$B$2:$B$176,A8,Keywords!$F$2:$F$176,"&lt;&gt;")</f>
        <v>25</v>
      </c>
      <c r="D8" s="19" t="n">
        <f aca="false">IF(C8=0,"",SUMIFS(Keywords!$F$2:$F$176,Keywords!$B$2:$B$176,A8))</f>
        <v>12570</v>
      </c>
      <c r="E8" s="19" t="n">
        <f aca="false">IF(C8=0,"",SUMIFS(Keywords!$F$2:$F$176,Keywords!$B$2:$B$176,A8,Keywords!$C$2:$C$176,"Agency-side"))</f>
        <v>12570</v>
      </c>
      <c r="F8" s="19" t="n">
        <f aca="false">IF(C8=0,"",SUMIFS(Keywords!$F$2:$F$176,Keywords!$B$2:$B$176,A8,Keywords!$C$2:$C$176,"Market-side"))</f>
        <v>0</v>
      </c>
      <c r="G8" s="20" t="n">
        <f aca="false">IF(C8=0,"",IFERROR(J8/D8,""))</f>
        <v>0.503198090692124</v>
      </c>
      <c r="H8" s="18" t="n">
        <f aca="false">IFERROR(AVERAGEIFS(Keywords!$H$2:$H$176,Keywords!$B$2:$B$176,A8,Keywords!$H$2:$H$176,"&lt;&gt;"),"")</f>
        <v>16.28</v>
      </c>
      <c r="I8" s="18" t="n">
        <f aca="false">IFERROR(AVERAGEIFS(Keywords!$H$2:$H$176,Keywords!$B$2:$B$176,A8,Keywords!$C$2:$C$176,"Agency-side",Keywords!$H$2:$H$176,"&lt;&gt;"),"")</f>
        <v>16.28</v>
      </c>
      <c r="J8" s="14" t="n">
        <f aca="false">IF(C8=0,"",SUMIFS(Keywords!$J$2:$J$176,Keywords!$B$2:$B$176,A8))</f>
        <v>6325.2</v>
      </c>
      <c r="K8" s="21" t="n">
        <f aca="false">IF(OR(J8="",H8=""),"",J8/MAX(H8,1))</f>
        <v>388.525798525799</v>
      </c>
      <c r="L8" s="18" t="n">
        <f aca="false">IF(K8="","",COUNTIF($K$5:$K$8,"&gt;"&amp;K8)+1)</f>
        <v>1</v>
      </c>
    </row>
    <row r="10" customFormat="false" ht="15" hidden="false" customHeight="true" outlineLevel="0" collapsed="false">
      <c r="A10" s="4" t="s">
        <v>230</v>
      </c>
    </row>
    <row r="11" customFormat="false" ht="15" hidden="false" customHeight="true" outlineLevel="0" collapsed="false">
      <c r="A11" s="3" t="s">
        <v>231</v>
      </c>
    </row>
    <row r="12" customFormat="false" ht="15" hidden="false" customHeight="true" outlineLevel="0" collapsed="false">
      <c r="A12" s="3" t="s">
        <v>232</v>
      </c>
    </row>
    <row r="13" customFormat="false" ht="15" hidden="false" customHeight="true" outlineLevel="0" collapsed="false">
      <c r="A13" s="3" t="s">
        <v>233</v>
      </c>
    </row>
    <row r="14" customFormat="false" ht="15" hidden="false" customHeight="true" outlineLevel="0" collapsed="false">
      <c r="A14" s="3" t="s">
        <v>234</v>
      </c>
    </row>
  </sheetData>
  <conditionalFormatting sqref="K5:K8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1" width="38"/>
  </cols>
  <sheetData>
    <row r="1" customFormat="false" ht="15" hidden="false" customHeight="true" outlineLevel="0" collapsed="false">
      <c r="A1" s="4" t="s">
        <v>235</v>
      </c>
    </row>
    <row r="2" customFormat="false" ht="31.5" hidden="false" customHeight="true" outlineLevel="0" collapsed="false">
      <c r="A2" s="22" t="s">
        <v>236</v>
      </c>
      <c r="B2" s="22" t="s">
        <v>237</v>
      </c>
      <c r="C2" s="22" t="s">
        <v>238</v>
      </c>
      <c r="D2" s="22" t="s">
        <v>239</v>
      </c>
      <c r="E2" s="22" t="s">
        <v>240</v>
      </c>
      <c r="F2" s="22" t="s">
        <v>241</v>
      </c>
      <c r="G2" s="22" t="s">
        <v>242</v>
      </c>
    </row>
    <row r="3" customFormat="false" ht="15" hidden="false" customHeight="true" outlineLevel="0" collapsed="false">
      <c r="A3" s="23" t="s">
        <v>243</v>
      </c>
      <c r="B3" s="23" t="s">
        <v>244</v>
      </c>
      <c r="C3" s="23" t="s">
        <v>243</v>
      </c>
      <c r="D3" s="23" t="s">
        <v>243</v>
      </c>
      <c r="E3" s="23" t="s">
        <v>243</v>
      </c>
      <c r="F3" s="23" t="s">
        <v>244</v>
      </c>
      <c r="G3" s="23" t="s">
        <v>243</v>
      </c>
    </row>
    <row r="4" customFormat="false" ht="15" hidden="false" customHeight="true" outlineLevel="0" collapsed="false">
      <c r="A4" s="3" t="s">
        <v>36</v>
      </c>
      <c r="B4" s="3" t="s">
        <v>59</v>
      </c>
      <c r="C4" s="3" t="s">
        <v>89</v>
      </c>
      <c r="D4" s="3" t="s">
        <v>104</v>
      </c>
      <c r="E4" s="3" t="s">
        <v>139</v>
      </c>
      <c r="F4" s="3" t="s">
        <v>160</v>
      </c>
      <c r="G4" s="3" t="s">
        <v>191</v>
      </c>
    </row>
    <row r="5" customFormat="false" ht="15" hidden="false" customHeight="true" outlineLevel="0" collapsed="false">
      <c r="A5" s="3" t="s">
        <v>38</v>
      </c>
      <c r="B5" s="3" t="s">
        <v>60</v>
      </c>
      <c r="C5" s="3" t="s">
        <v>90</v>
      </c>
      <c r="D5" s="3" t="s">
        <v>27</v>
      </c>
      <c r="E5" s="3" t="s">
        <v>141</v>
      </c>
      <c r="F5" s="3" t="s">
        <v>161</v>
      </c>
      <c r="G5" s="3" t="s">
        <v>192</v>
      </c>
    </row>
    <row r="6" customFormat="false" ht="15" hidden="false" customHeight="true" outlineLevel="0" collapsed="false">
      <c r="A6" s="3" t="s">
        <v>39</v>
      </c>
      <c r="B6" s="3" t="s">
        <v>61</v>
      </c>
      <c r="C6" s="3" t="s">
        <v>91</v>
      </c>
      <c r="D6" s="3" t="s">
        <v>105</v>
      </c>
      <c r="E6" s="3" t="s">
        <v>142</v>
      </c>
      <c r="F6" s="3" t="s">
        <v>162</v>
      </c>
      <c r="G6" s="3" t="s">
        <v>193</v>
      </c>
    </row>
    <row r="7" customFormat="false" ht="15" hidden="false" customHeight="true" outlineLevel="0" collapsed="false">
      <c r="A7" s="3" t="s">
        <v>41</v>
      </c>
      <c r="B7" s="3" t="s">
        <v>62</v>
      </c>
      <c r="C7" s="3" t="s">
        <v>92</v>
      </c>
      <c r="D7" s="3" t="s">
        <v>106</v>
      </c>
      <c r="E7" s="3" t="s">
        <v>143</v>
      </c>
      <c r="F7" s="3" t="s">
        <v>163</v>
      </c>
      <c r="G7" s="3" t="s">
        <v>194</v>
      </c>
    </row>
    <row r="8" customFormat="false" ht="15" hidden="false" customHeight="true" outlineLevel="0" collapsed="false">
      <c r="A8" s="3" t="s">
        <v>42</v>
      </c>
      <c r="B8" s="3" t="s">
        <v>63</v>
      </c>
      <c r="C8" s="3" t="s">
        <v>93</v>
      </c>
      <c r="D8" s="3" t="s">
        <v>107</v>
      </c>
      <c r="E8" s="3" t="s">
        <v>144</v>
      </c>
      <c r="F8" s="3" t="s">
        <v>164</v>
      </c>
      <c r="G8" s="3" t="s">
        <v>195</v>
      </c>
    </row>
    <row r="9" customFormat="false" ht="15" hidden="false" customHeight="true" outlineLevel="0" collapsed="false">
      <c r="A9" s="3" t="s">
        <v>43</v>
      </c>
      <c r="B9" s="3" t="s">
        <v>64</v>
      </c>
      <c r="C9" s="3" t="s">
        <v>94</v>
      </c>
      <c r="D9" s="3" t="s">
        <v>108</v>
      </c>
      <c r="E9" s="3" t="s">
        <v>145</v>
      </c>
      <c r="F9" s="3" t="s">
        <v>165</v>
      </c>
      <c r="G9" s="3" t="s">
        <v>196</v>
      </c>
    </row>
    <row r="10" customFormat="false" ht="15" hidden="false" customHeight="true" outlineLevel="0" collapsed="false">
      <c r="A10" s="3" t="s">
        <v>44</v>
      </c>
      <c r="B10" s="3" t="s">
        <v>65</v>
      </c>
      <c r="C10" s="3" t="s">
        <v>95</v>
      </c>
      <c r="D10" s="3" t="s">
        <v>109</v>
      </c>
      <c r="E10" s="3" t="s">
        <v>146</v>
      </c>
      <c r="F10" s="3" t="s">
        <v>166</v>
      </c>
      <c r="G10" s="3" t="s">
        <v>197</v>
      </c>
    </row>
    <row r="11" customFormat="false" ht="15" hidden="false" customHeight="true" outlineLevel="0" collapsed="false">
      <c r="A11" s="3" t="s">
        <v>45</v>
      </c>
      <c r="B11" s="3" t="s">
        <v>66</v>
      </c>
      <c r="C11" s="3" t="s">
        <v>96</v>
      </c>
      <c r="D11" s="3" t="s">
        <v>110</v>
      </c>
      <c r="E11" s="3" t="s">
        <v>147</v>
      </c>
      <c r="F11" s="3" t="s">
        <v>167</v>
      </c>
      <c r="G11" s="3" t="s">
        <v>198</v>
      </c>
    </row>
    <row r="12" customFormat="false" ht="15" hidden="false" customHeight="true" outlineLevel="0" collapsed="false">
      <c r="A12" s="3" t="s">
        <v>46</v>
      </c>
      <c r="B12" s="3" t="s">
        <v>67</v>
      </c>
      <c r="C12" s="3" t="s">
        <v>97</v>
      </c>
      <c r="D12" s="3" t="s">
        <v>111</v>
      </c>
      <c r="E12" s="3" t="s">
        <v>148</v>
      </c>
      <c r="F12" s="3" t="s">
        <v>168</v>
      </c>
      <c r="G12" s="3" t="s">
        <v>199</v>
      </c>
    </row>
    <row r="13" customFormat="false" ht="15" hidden="false" customHeight="true" outlineLevel="0" collapsed="false">
      <c r="A13" s="3" t="s">
        <v>47</v>
      </c>
      <c r="B13" s="3" t="s">
        <v>68</v>
      </c>
      <c r="C13" s="3" t="s">
        <v>98</v>
      </c>
      <c r="D13" s="3" t="s">
        <v>112</v>
      </c>
      <c r="E13" s="3" t="s">
        <v>149</v>
      </c>
      <c r="F13" s="3" t="s">
        <v>169</v>
      </c>
      <c r="G13" s="3" t="s">
        <v>200</v>
      </c>
    </row>
    <row r="14" customFormat="false" ht="15" hidden="false" customHeight="true" outlineLevel="0" collapsed="false">
      <c r="A14" s="3" t="s">
        <v>48</v>
      </c>
      <c r="B14" s="3" t="s">
        <v>69</v>
      </c>
      <c r="C14" s="3" t="s">
        <v>99</v>
      </c>
      <c r="D14" s="3" t="s">
        <v>113</v>
      </c>
      <c r="E14" s="3" t="s">
        <v>150</v>
      </c>
      <c r="F14" s="3" t="s">
        <v>170</v>
      </c>
      <c r="G14" s="3" t="s">
        <v>201</v>
      </c>
    </row>
    <row r="15" customFormat="false" ht="15" hidden="false" customHeight="true" outlineLevel="0" collapsed="false">
      <c r="A15" s="3" t="s">
        <v>49</v>
      </c>
      <c r="B15" s="3" t="s">
        <v>70</v>
      </c>
      <c r="C15" s="3" t="s">
        <v>100</v>
      </c>
      <c r="D15" s="3" t="s">
        <v>114</v>
      </c>
      <c r="E15" s="3" t="s">
        <v>151</v>
      </c>
      <c r="F15" s="3" t="s">
        <v>171</v>
      </c>
      <c r="G15" s="3" t="s">
        <v>202</v>
      </c>
    </row>
    <row r="16" customFormat="false" ht="15" hidden="false" customHeight="true" outlineLevel="0" collapsed="false">
      <c r="A16" s="3" t="s">
        <v>50</v>
      </c>
      <c r="B16" s="3" t="s">
        <v>71</v>
      </c>
      <c r="C16" s="3" t="s">
        <v>101</v>
      </c>
      <c r="D16" s="3" t="s">
        <v>115</v>
      </c>
      <c r="E16" s="3" t="s">
        <v>152</v>
      </c>
      <c r="F16" s="3" t="s">
        <v>172</v>
      </c>
      <c r="G16" s="3" t="s">
        <v>203</v>
      </c>
    </row>
    <row r="17" customFormat="false" ht="15" hidden="false" customHeight="true" outlineLevel="0" collapsed="false">
      <c r="A17" s="3" t="s">
        <v>51</v>
      </c>
      <c r="B17" s="3" t="s">
        <v>72</v>
      </c>
      <c r="C17" s="3" t="s">
        <v>102</v>
      </c>
      <c r="D17" s="3" t="s">
        <v>116</v>
      </c>
      <c r="E17" s="3" t="s">
        <v>153</v>
      </c>
      <c r="F17" s="3" t="s">
        <v>173</v>
      </c>
      <c r="G17" s="3" t="s">
        <v>204</v>
      </c>
    </row>
    <row r="18" customFormat="false" ht="15" hidden="false" customHeight="true" outlineLevel="0" collapsed="false">
      <c r="A18" s="3" t="s">
        <v>52</v>
      </c>
      <c r="B18" s="3" t="s">
        <v>73</v>
      </c>
      <c r="C18" s="3" t="s">
        <v>103</v>
      </c>
      <c r="D18" s="3" t="s">
        <v>117</v>
      </c>
      <c r="E18" s="3" t="s">
        <v>154</v>
      </c>
      <c r="F18" s="3" t="s">
        <v>174</v>
      </c>
      <c r="G18" s="3" t="s">
        <v>205</v>
      </c>
    </row>
    <row r="19" customFormat="false" ht="15" hidden="false" customHeight="true" outlineLevel="0" collapsed="false">
      <c r="A19" s="3" t="s">
        <v>53</v>
      </c>
      <c r="B19" s="3" t="s">
        <v>74</v>
      </c>
      <c r="D19" s="3" t="s">
        <v>118</v>
      </c>
      <c r="E19" s="3" t="s">
        <v>155</v>
      </c>
      <c r="F19" s="3" t="s">
        <v>175</v>
      </c>
      <c r="G19" s="3" t="s">
        <v>206</v>
      </c>
    </row>
    <row r="20" customFormat="false" ht="15" hidden="false" customHeight="true" outlineLevel="0" collapsed="false">
      <c r="A20" s="3" t="s">
        <v>54</v>
      </c>
      <c r="B20" s="3" t="s">
        <v>75</v>
      </c>
      <c r="D20" s="3" t="s">
        <v>119</v>
      </c>
      <c r="E20" s="3" t="s">
        <v>156</v>
      </c>
      <c r="F20" s="3" t="s">
        <v>176</v>
      </c>
      <c r="G20" s="3" t="s">
        <v>207</v>
      </c>
    </row>
    <row r="21" customFormat="false" ht="15" hidden="false" customHeight="true" outlineLevel="0" collapsed="false">
      <c r="A21" s="3" t="s">
        <v>55</v>
      </c>
      <c r="B21" s="3" t="s">
        <v>76</v>
      </c>
      <c r="D21" s="3" t="s">
        <v>120</v>
      </c>
      <c r="E21" s="3" t="s">
        <v>157</v>
      </c>
      <c r="F21" s="3" t="s">
        <v>177</v>
      </c>
      <c r="G21" s="3" t="s">
        <v>208</v>
      </c>
    </row>
    <row r="22" customFormat="false" ht="15" hidden="false" customHeight="true" outlineLevel="0" collapsed="false">
      <c r="A22" s="3" t="s">
        <v>56</v>
      </c>
      <c r="B22" s="3" t="s">
        <v>77</v>
      </c>
      <c r="D22" s="3" t="s">
        <v>121</v>
      </c>
      <c r="E22" s="3" t="s">
        <v>158</v>
      </c>
      <c r="F22" s="3" t="s">
        <v>178</v>
      </c>
      <c r="G22" s="3" t="s">
        <v>209</v>
      </c>
    </row>
    <row r="23" customFormat="false" ht="15" hidden="false" customHeight="true" outlineLevel="0" collapsed="false">
      <c r="A23" s="3" t="s">
        <v>57</v>
      </c>
      <c r="B23" s="3" t="s">
        <v>78</v>
      </c>
      <c r="D23" s="3" t="s">
        <v>122</v>
      </c>
      <c r="E23" s="3" t="s">
        <v>159</v>
      </c>
      <c r="F23" s="3" t="s">
        <v>179</v>
      </c>
      <c r="G23" s="3" t="s">
        <v>210</v>
      </c>
    </row>
    <row r="24" customFormat="false" ht="15" hidden="false" customHeight="true" outlineLevel="0" collapsed="false">
      <c r="B24" s="3" t="s">
        <v>79</v>
      </c>
      <c r="D24" s="3" t="s">
        <v>123</v>
      </c>
      <c r="F24" s="3" t="s">
        <v>180</v>
      </c>
      <c r="G24" s="3" t="s">
        <v>211</v>
      </c>
    </row>
    <row r="25" customFormat="false" ht="15" hidden="false" customHeight="true" outlineLevel="0" collapsed="false">
      <c r="B25" s="3" t="s">
        <v>80</v>
      </c>
      <c r="D25" s="3" t="s">
        <v>124</v>
      </c>
      <c r="F25" s="3" t="s">
        <v>181</v>
      </c>
      <c r="G25" s="3" t="s">
        <v>212</v>
      </c>
    </row>
    <row r="26" customFormat="false" ht="15" hidden="false" customHeight="true" outlineLevel="0" collapsed="false">
      <c r="B26" s="3" t="s">
        <v>81</v>
      </c>
      <c r="D26" s="3" t="s">
        <v>125</v>
      </c>
      <c r="F26" s="3" t="s">
        <v>182</v>
      </c>
      <c r="G26" s="3" t="s">
        <v>213</v>
      </c>
    </row>
    <row r="27" customFormat="false" ht="15" hidden="false" customHeight="true" outlineLevel="0" collapsed="false">
      <c r="B27" s="3" t="s">
        <v>82</v>
      </c>
      <c r="D27" s="3" t="s">
        <v>126</v>
      </c>
      <c r="F27" s="3" t="s">
        <v>183</v>
      </c>
      <c r="G27" s="3" t="s">
        <v>214</v>
      </c>
    </row>
    <row r="28" customFormat="false" ht="15" hidden="false" customHeight="true" outlineLevel="0" collapsed="false">
      <c r="B28" s="3" t="s">
        <v>83</v>
      </c>
      <c r="D28" s="3" t="s">
        <v>127</v>
      </c>
      <c r="F28" s="3" t="s">
        <v>184</v>
      </c>
      <c r="G28" s="3" t="s">
        <v>216</v>
      </c>
    </row>
    <row r="29" customFormat="false" ht="15" hidden="false" customHeight="true" outlineLevel="0" collapsed="false">
      <c r="B29" s="3" t="s">
        <v>84</v>
      </c>
      <c r="D29" s="3" t="s">
        <v>128</v>
      </c>
      <c r="F29" s="3" t="s">
        <v>185</v>
      </c>
    </row>
    <row r="30" customFormat="false" ht="15" hidden="false" customHeight="true" outlineLevel="0" collapsed="false">
      <c r="B30" s="3" t="s">
        <v>85</v>
      </c>
      <c r="D30" s="3" t="s">
        <v>129</v>
      </c>
      <c r="F30" s="3" t="s">
        <v>186</v>
      </c>
    </row>
    <row r="31" customFormat="false" ht="15" hidden="false" customHeight="true" outlineLevel="0" collapsed="false">
      <c r="B31" s="3" t="s">
        <v>86</v>
      </c>
      <c r="D31" s="3" t="s">
        <v>130</v>
      </c>
      <c r="F31" s="3" t="s">
        <v>187</v>
      </c>
    </row>
    <row r="32" customFormat="false" ht="15" hidden="false" customHeight="true" outlineLevel="0" collapsed="false">
      <c r="B32" s="3" t="s">
        <v>87</v>
      </c>
      <c r="D32" s="3" t="s">
        <v>131</v>
      </c>
      <c r="F32" s="3" t="s">
        <v>188</v>
      </c>
    </row>
    <row r="33" customFormat="false" ht="15" hidden="false" customHeight="true" outlineLevel="0" collapsed="false">
      <c r="B33" s="3" t="s">
        <v>88</v>
      </c>
      <c r="D33" s="3" t="s">
        <v>132</v>
      </c>
      <c r="F33" s="3" t="s">
        <v>189</v>
      </c>
    </row>
    <row r="34" customFormat="false" ht="15" hidden="false" customHeight="true" outlineLevel="0" collapsed="false">
      <c r="D34" s="3" t="s">
        <v>133</v>
      </c>
    </row>
    <row r="35" customFormat="false" ht="15" hidden="false" customHeight="true" outlineLevel="0" collapsed="false">
      <c r="D35" s="3" t="s">
        <v>134</v>
      </c>
    </row>
    <row r="36" customFormat="false" ht="15" hidden="false" customHeight="true" outlineLevel="0" collapsed="false">
      <c r="D36" s="3" t="s">
        <v>135</v>
      </c>
    </row>
    <row r="37" customFormat="false" ht="15" hidden="false" customHeight="true" outlineLevel="0" collapsed="false">
      <c r="D37" s="3" t="s">
        <v>136</v>
      </c>
    </row>
    <row r="38" customFormat="false" ht="15" hidden="false" customHeight="true" outlineLevel="0" collapsed="false">
      <c r="D38" s="3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2026-10-13T15:04:35Z</dcterms:created>
  <dc:creator>openpyxl</dc:creator>
  <dc:description/>
  <dc:language>en-US</dc:language>
  <cp:lastModifiedBy/>
  <dcterms:modified xsi:type="dcterms:W3CDTF">2026-10-13T15:27:40Z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