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word Map" sheetId="1" state="visible" r:id="rId3"/>
    <sheet name="All Keywords" sheetId="2" state="visible" r:id="rId4"/>
    <sheet name="Category Summary" sheetId="3" state="visible" r:id="rId5"/>
  </sheets>
  <definedNames>
    <definedName function="false" hidden="true" localSheetId="1" name="_xlnm._FilterDatabase" vbProcedure="false">'All Keywords'!$A$1:$I$1170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<sst xmlns="http://schemas.openxmlformats.org/spreadsheetml/2006/main" count="4930" uniqueCount="1302">
  <si>
    <t xml:space="preserve">Website Keyword Map – one primary keyword per page</t>
  </si>
  <si>
    <t xml:space="preserve">Source: Semrush Keyword Magic (India database) exports + agency-side bulk run, shared by the user 13 Oct 2026. Cluster volume = SUMIFS over 'All Keywords' by assigned page.</t>
  </si>
  <si>
    <t xml:space="preserve">Phase 1 = build first (months 0–2) · Phase 2 = months 2–5 · Phase 3 = later / early bets</t>
  </si>
  <si>
    <t xml:space="preserve">Phase</t>
  </si>
  <si>
    <t xml:space="preserve">Section</t>
  </si>
  <si>
    <t xml:space="preserve">URL</t>
  </si>
  <si>
    <t xml:space="preserve">Page</t>
  </si>
  <si>
    <t xml:space="preserve">Primary keyword</t>
  </si>
  <si>
    <t xml:space="preserve">Primary volume</t>
  </si>
  <si>
    <t xml:space="preserve">Primary KD %</t>
  </si>
  <si>
    <t xml:space="preserve">Secondary keywords</t>
  </si>
  <si>
    <t xml:space="preserve"># keywords</t>
  </si>
  <si>
    <t xml:space="preserve">Cluster volume</t>
  </si>
  <si>
    <t xml:space="preserve">Cluster value (USD/mo)</t>
  </si>
  <si>
    <t xml:space="preserve">Ads</t>
  </si>
  <si>
    <t xml:space="preserve">/amazon-marketing-agency/</t>
  </si>
  <si>
    <t xml:space="preserve">Amazon Advertising Agency</t>
  </si>
  <si>
    <t xml:space="preserve">amazon advertising agency</t>
  </si>
  <si>
    <t xml:space="preserve">ad agency for amazon, amazon ad agency, amazon marketing agency india, amazon marketing agency, amazon ppc agency, amazon advertising agency india</t>
  </si>
  <si>
    <t xml:space="preserve">/amazon-account-management/</t>
  </si>
  <si>
    <t xml:space="preserve">Amazon Account Management</t>
  </si>
  <si>
    <t xml:space="preserve">amazon account management services</t>
  </si>
  <si>
    <t xml:space="preserve">/flipkart-account-management/</t>
  </si>
  <si>
    <t xml:space="preserve">Flipkart Account &amp; Ads Management</t>
  </si>
  <si>
    <t xml:space="preserve">flipkart account management services</t>
  </si>
  <si>
    <t xml:space="preserve">flipkart ads management</t>
  </si>
  <si>
    <t xml:space="preserve">Chennai</t>
  </si>
  <si>
    <t xml:space="preserve">/chennai/digital-marketing-agency/</t>
  </si>
  <si>
    <t xml:space="preserve">Digital Marketing Agency in Chennai</t>
  </si>
  <si>
    <t xml:space="preserve">digital marketing agency chennai</t>
  </si>
  <si>
    <t xml:space="preserve">/chennai/seo-company/</t>
  </si>
  <si>
    <t xml:space="preserve">SEO Company in Chennai</t>
  </si>
  <si>
    <t xml:space="preserve">seo company in chennai</t>
  </si>
  <si>
    <t xml:space="preserve">seo agency in chennai, seo expert in chennai, seo in chennai, best seo agency in chennai, best seo services in chennai, seo agency chennai, seo services company in chennai</t>
  </si>
  <si>
    <t xml:space="preserve">/chennai/ecommerce-website-development/</t>
  </si>
  <si>
    <t xml:space="preserve">E-commerce Website Development in Chennai</t>
  </si>
  <si>
    <t xml:space="preserve">ecommerce website development company in chennai</t>
  </si>
  <si>
    <t xml:space="preserve">ecommerce website development in chennai, ecommerce web development chennai, ecommerce development company in chennai, ecommerce website development chennai, shopify experts in chennai, shopify experts chennai</t>
  </si>
  <si>
    <t xml:space="preserve">Content</t>
  </si>
  <si>
    <t xml:space="preserve">/blog/ecommerce-website-cost-in-india/</t>
  </si>
  <si>
    <t xml:space="preserve">Guide: E-commerce Website Cost in India</t>
  </si>
  <si>
    <t xml:space="preserve">ecommerce website cost in india</t>
  </si>
  <si>
    <t xml:space="preserve">best ecommerce platform in india</t>
  </si>
  <si>
    <t xml:space="preserve">Core</t>
  </si>
  <si>
    <t xml:space="preserve">/</t>
  </si>
  <si>
    <t xml:space="preserve">Home – E-commerce Growth Agency</t>
  </si>
  <si>
    <t xml:space="preserve">ecommerce marketing agency</t>
  </si>
  <si>
    <t xml:space="preserve">ecommerce agency near me, ecommerce marketing agency india</t>
  </si>
  <si>
    <t xml:space="preserve">SEO</t>
  </si>
  <si>
    <t xml:space="preserve">/ecommerce-seo/</t>
  </si>
  <si>
    <t xml:space="preserve">E-commerce SEO Services</t>
  </si>
  <si>
    <t xml:space="preserve">ecommerce seo services</t>
  </si>
  <si>
    <t xml:space="preserve">ecommerce search engine optimization services, best ecommerce seo services in india, affordable ecommerce seo services, ecommerce seo services india, ecommerce seo consultant, ecommerce seo agency</t>
  </si>
  <si>
    <t xml:space="preserve">/ecommerce-seo-packages/</t>
  </si>
  <si>
    <t xml:space="preserve">E-commerce SEO Packages &amp; Pricing</t>
  </si>
  <si>
    <t xml:space="preserve">ecommerce website seo packages</t>
  </si>
  <si>
    <t xml:space="preserve">ecommerce seo packages</t>
  </si>
  <si>
    <t xml:space="preserve">Website</t>
  </si>
  <si>
    <t xml:space="preserve">/shopify-development/</t>
  </si>
  <si>
    <t xml:space="preserve">Shopify Development Company</t>
  </si>
  <si>
    <t xml:space="preserve">shopify website development company</t>
  </si>
  <si>
    <t xml:space="preserve">best shopify development company, shopify development agency, shopify agency, shopify development company in india, top shopify development companies, shopify website development agency, shopify experts india, shopify development company india, shopify developer india, shopify developer near me</t>
  </si>
  <si>
    <t xml:space="preserve">/ecommerce-website-development/</t>
  </si>
  <si>
    <t xml:space="preserve">E-commerce Website Development</t>
  </si>
  <si>
    <t xml:space="preserve">ecommerce website development company</t>
  </si>
  <si>
    <t xml:space="preserve">ecommerce development company india, ecommerce solution company, wordpress ecommerce development company, hire ecommerce developer</t>
  </si>
  <si>
    <t xml:space="preserve">/shopify-marketing/</t>
  </si>
  <si>
    <t xml:space="preserve">Shopify Marketing Agency</t>
  </si>
  <si>
    <t xml:space="preserve">shopify digital marketing agency</t>
  </si>
  <si>
    <t xml:space="preserve">shopify marketing agency</t>
  </si>
  <si>
    <t xml:space="preserve">/ecommerce-social-media-marketing/</t>
  </si>
  <si>
    <t xml:space="preserve">E-commerce Social Media Marketing</t>
  </si>
  <si>
    <t xml:space="preserve">ecommerce social media marketing agency</t>
  </si>
  <si>
    <t xml:space="preserve">social media marketing agency for ecommerce</t>
  </si>
  <si>
    <t xml:space="preserve">/performance-marketing/</t>
  </si>
  <si>
    <t xml:space="preserve">Performance Marketing Agency</t>
  </si>
  <si>
    <t xml:space="preserve">performance marketing agency india</t>
  </si>
  <si>
    <t xml:space="preserve">B2B/Export</t>
  </si>
  <si>
    <t xml:space="preserve">/b2b-digital-marketing/</t>
  </si>
  <si>
    <t xml:space="preserve">B2B Digital Marketing for Manufacturers &amp; Exporters</t>
  </si>
  <si>
    <t xml:space="preserve">b2b digital marketing services</t>
  </si>
  <si>
    <t xml:space="preserve">b2b marketing agency, b2b advertising agency, b2b seo agency, digital marketing agency for b2b, b2b lead generation company india, seo for manufacturers, digital marketing for manufacturers, digital marketing for manufacturing industry</t>
  </si>
  <si>
    <t xml:space="preserve">/blog/how-to-find-buyers-for-export/</t>
  </si>
  <si>
    <t xml:space="preserve">Guide: How to Find Export Buyers</t>
  </si>
  <si>
    <t xml:space="preserve">how to find buyers for export</t>
  </si>
  <si>
    <t xml:space="preserve">how to get export orders, how to get international buyers</t>
  </si>
  <si>
    <t xml:space="preserve">Global</t>
  </si>
  <si>
    <t xml:space="preserve">/white-label-seo/</t>
  </si>
  <si>
    <t xml:space="preserve">White-label SEO for Agencies</t>
  </si>
  <si>
    <t xml:space="preserve">white label seo services</t>
  </si>
  <si>
    <t xml:space="preserve">white label seo agency, white label seo services for agencies, white label local seo services</t>
  </si>
  <si>
    <t xml:space="preserve">/seo-outsourcing-india/</t>
  </si>
  <si>
    <t xml:space="preserve">Outsource SEO to India</t>
  </si>
  <si>
    <t xml:space="preserve">seo outsourcing india</t>
  </si>
  <si>
    <t xml:space="preserve">outsource seo company india, seo outsourcing company india, seo outsourcing company in india, outsource seo services, outsource seo services to india, seo outsourcing company</t>
  </si>
  <si>
    <t xml:space="preserve">/shopify-seo/</t>
  </si>
  <si>
    <t xml:space="preserve">Shopify SEO Services</t>
  </si>
  <si>
    <t xml:space="preserve">shopify seo services</t>
  </si>
  <si>
    <t xml:space="preserve">/amazon-seo/</t>
  </si>
  <si>
    <t xml:space="preserve">Amazon SEO &amp; Listing Optimisation</t>
  </si>
  <si>
    <t xml:space="preserve">amazon seo services</t>
  </si>
  <si>
    <t xml:space="preserve">seo services amazon, amazon listing optimization service</t>
  </si>
  <si>
    <t xml:space="preserve">/seo-services/</t>
  </si>
  <si>
    <t xml:space="preserve">SEO Services (all businesses)</t>
  </si>
  <si>
    <t xml:space="preserve">seo agency india</t>
  </si>
  <si>
    <t xml:space="preserve">local seo services, affordable local seo services, small business seo services, seo consultant, seo expert from india</t>
  </si>
  <si>
    <t xml:space="preserve">/seo-packages/</t>
  </si>
  <si>
    <t xml:space="preserve">SEO Packages &amp; Pricing India</t>
  </si>
  <si>
    <t xml:space="preserve">seo packages</t>
  </si>
  <si>
    <t xml:space="preserve">seo packages india, seo cost in india, seo charges in india, seo price in india</t>
  </si>
  <si>
    <t xml:space="preserve">/woocommerce-development/</t>
  </si>
  <si>
    <t xml:space="preserve">WooCommerce Development</t>
  </si>
  <si>
    <t xml:space="preserve">woocommerce development company</t>
  </si>
  <si>
    <t xml:space="preserve">hire woocommerce developer</t>
  </si>
  <si>
    <t xml:space="preserve">/quick-commerce-marketing/</t>
  </si>
  <si>
    <t xml:space="preserve">Blinkit / Zepto / Instamart Ads (early bet)</t>
  </si>
  <si>
    <t xml:space="preserve">quick commerce marketing agency</t>
  </si>
  <si>
    <t xml:space="preserve">blinkit ads</t>
  </si>
  <si>
    <t xml:space="preserve">/coimbatore/seo-services/</t>
  </si>
  <si>
    <t xml:space="preserve">SEO Services in Coimbatore</t>
  </si>
  <si>
    <t xml:space="preserve">seo services in coimbatore</t>
  </si>
  <si>
    <t xml:space="preserve">seo agency in coimbatore</t>
  </si>
  <si>
    <t xml:space="preserve">TOTAL</t>
  </si>
  <si>
    <t xml:space="preserve">Phase 1 volume</t>
  </si>
  <si>
    <t xml:space="preserve">Phase 2 volume</t>
  </si>
  <si>
    <t xml:space="preserve">Phase 3 volume</t>
  </si>
  <si>
    <t xml:space="preserve">Keyword</t>
  </si>
  <si>
    <t xml:space="preserve">Volume</t>
  </si>
  <si>
    <t xml:space="preserve">KD %</t>
  </si>
  <si>
    <t xml:space="preserve">CPC (USD)</t>
  </si>
  <si>
    <t xml:space="preserve">Intent</t>
  </si>
  <si>
    <t xml:space="preserve">Semrush seed</t>
  </si>
  <si>
    <t xml:space="preserve">Category</t>
  </si>
  <si>
    <t xml:space="preserve">Assigned page</t>
  </si>
  <si>
    <t xml:space="preserve">Value (Vol×CPC)</t>
  </si>
  <si>
    <t xml:space="preserve">Commercial</t>
  </si>
  <si>
    <t xml:space="preserve">seo_services</t>
  </si>
  <si>
    <t xml:space="preserve">Tamil Nadu local</t>
  </si>
  <si>
    <t xml:space="preserve">seo agency in chennai</t>
  </si>
  <si>
    <t xml:space="preserve">seo expert in chennai</t>
  </si>
  <si>
    <t xml:space="preserve">website_development_company</t>
  </si>
  <si>
    <t xml:space="preserve">seo in chennai</t>
  </si>
  <si>
    <t xml:space="preserve">best seo agency in chennai</t>
  </si>
  <si>
    <t xml:space="preserve">ecommerce web development chennai</t>
  </si>
  <si>
    <t xml:space="preserve">ecommerce website development in chennai</t>
  </si>
  <si>
    <t xml:space="preserve">Informational</t>
  </si>
  <si>
    <t xml:space="preserve">best seo services in chennai</t>
  </si>
  <si>
    <t xml:space="preserve">ecommerce development company in chennai</t>
  </si>
  <si>
    <t xml:space="preserve">seo agency chennai</t>
  </si>
  <si>
    <t xml:space="preserve">seo services company in chennai</t>
  </si>
  <si>
    <t xml:space="preserve">shopify experts chennai</t>
  </si>
  <si>
    <t xml:space="preserve">shopify_agency</t>
  </si>
  <si>
    <t xml:space="preserve">shopify experts in chennai</t>
  </si>
  <si>
    <t xml:space="preserve">agency-side bulk run</t>
  </si>
  <si>
    <t xml:space="preserve">E-commerce / Shopify / Amazon</t>
  </si>
  <si>
    <t xml:space="preserve">best shopify development company</t>
  </si>
  <si>
    <t xml:space="preserve">ecommerce search engine optimization services</t>
  </si>
  <si>
    <t xml:space="preserve">Informational, Commercial</t>
  </si>
  <si>
    <t xml:space="preserve">shopify development agency</t>
  </si>
  <si>
    <t xml:space="preserve">currency formatting shopify</t>
  </si>
  <si>
    <t xml:space="preserve">best ecommerce seo services in india</t>
  </si>
  <si>
    <t xml:space="preserve">digital_marketing_company</t>
  </si>
  <si>
    <t xml:space="preserve">shopify agency</t>
  </si>
  <si>
    <t xml:space="preserve">shopify development company in india</t>
  </si>
  <si>
    <t xml:space="preserve">top shopify development companies</t>
  </si>
  <si>
    <t xml:space="preserve">shopifypartner</t>
  </si>
  <si>
    <t xml:space="preserve">Navigational</t>
  </si>
  <si>
    <t xml:space="preserve">ecommerce development company india</t>
  </si>
  <si>
    <t xml:space="preserve">C</t>
  </si>
  <si>
    <t xml:space="preserve">ad agency for amazon</t>
  </si>
  <si>
    <t xml:space="preserve">amazon ad agency</t>
  </si>
  <si>
    <t xml:space="preserve">shopify plus agency</t>
  </si>
  <si>
    <t xml:space="preserve">shopify app development company</t>
  </si>
  <si>
    <t xml:space="preserve">amazon marketing agency india</t>
  </si>
  <si>
    <t xml:space="preserve">ecommerce agency near me</t>
  </si>
  <si>
    <t xml:space="preserve">Transactional</t>
  </si>
  <si>
    <t xml:space="preserve">affordable ecommerce seo services</t>
  </si>
  <si>
    <t xml:space="preserve">shopify experts india</t>
  </si>
  <si>
    <t xml:space="preserve">amazon marketing agency</t>
  </si>
  <si>
    <t xml:space="preserve">magento website maintenance services</t>
  </si>
  <si>
    <t xml:space="preserve">ecommerce seo services india</t>
  </si>
  <si>
    <t xml:space="preserve">seo services amazon</t>
  </si>
  <si>
    <t xml:space="preserve">seo for manufacturers</t>
  </si>
  <si>
    <t xml:space="preserve">shopify website development agency</t>
  </si>
  <si>
    <t xml:space="preserve">ecommerce solution company</t>
  </si>
  <si>
    <t xml:space="preserve">I</t>
  </si>
  <si>
    <t xml:space="preserve">b2b lead generation company india</t>
  </si>
  <si>
    <t xml:space="preserve">shopify development company india</t>
  </si>
  <si>
    <t xml:space="preserve">great shopify websites</t>
  </si>
  <si>
    <t xml:space="preserve">amazon ppc agency</t>
  </si>
  <si>
    <t xml:space="preserve">ecommerce marketing agency india</t>
  </si>
  <si>
    <t xml:space="preserve">ecommerce website development chennai</t>
  </si>
  <si>
    <t xml:space="preserve">shopify developer india</t>
  </si>
  <si>
    <t xml:space="preserve">wordpress ecommerce development company</t>
  </si>
  <si>
    <t xml:space="preserve">hire ecommerce developer</t>
  </si>
  <si>
    <t xml:space="preserve">amazon seo agency</t>
  </si>
  <si>
    <t xml:space="preserve">ecommerce seo consultant</t>
  </si>
  <si>
    <t xml:space="preserve">shopify agency in india</t>
  </si>
  <si>
    <t xml:space="preserve">shopify developer near me</t>
  </si>
  <si>
    <t xml:space="preserve">shopify brands</t>
  </si>
  <si>
    <t xml:space="preserve">shopify compare at price</t>
  </si>
  <si>
    <t xml:space="preserve">shopify navigation</t>
  </si>
  <si>
    <t xml:space="preserve">Informational, Navigational</t>
  </si>
  <si>
    <t xml:space="preserve">shopify plus development company</t>
  </si>
  <si>
    <t xml:space="preserve">shopify awards</t>
  </si>
  <si>
    <t xml:space="preserve">ecommerce consulting services</t>
  </si>
  <si>
    <t xml:space="preserve">best ecommerce seo agency</t>
  </si>
  <si>
    <t xml:space="preserve">shopify development agency india</t>
  </si>
  <si>
    <t xml:space="preserve">shopify for agencies</t>
  </si>
  <si>
    <t xml:space="preserve">Navigational, Transactional</t>
  </si>
  <si>
    <t xml:space="preserve">ecommerce seo agency</t>
  </si>
  <si>
    <t xml:space="preserve">hire shopify agency</t>
  </si>
  <si>
    <t xml:space="preserve">shopify india head office</t>
  </si>
  <si>
    <t xml:space="preserve">shopify migration agency</t>
  </si>
  <si>
    <t xml:space="preserve">shopify plus help</t>
  </si>
  <si>
    <t xml:space="preserve">shopify website design fiverr</t>
  </si>
  <si>
    <t xml:space="preserve">how to get export orders</t>
  </si>
  <si>
    <t xml:space="preserve">best shopify agency</t>
  </si>
  <si>
    <t xml:space="preserve">best shopify websites in india</t>
  </si>
  <si>
    <t xml:space="preserve">indian shopify sites</t>
  </si>
  <si>
    <t xml:space="preserve">Informational, Transactional</t>
  </si>
  <si>
    <t xml:space="preserve">list of shopify stores in india</t>
  </si>
  <si>
    <t xml:space="preserve">shopify ad agency</t>
  </si>
  <si>
    <t xml:space="preserve">shopify companies in india</t>
  </si>
  <si>
    <t xml:space="preserve">shopify consulting services</t>
  </si>
  <si>
    <t xml:space="preserve">shopify design agency</t>
  </si>
  <si>
    <t xml:space="preserve">shopify india websites</t>
  </si>
  <si>
    <t xml:space="preserve">shopify migration experts</t>
  </si>
  <si>
    <t xml:space="preserve">shopify plus advantages</t>
  </si>
  <si>
    <t xml:space="preserve">shopify plus agency partners</t>
  </si>
  <si>
    <t xml:space="preserve">shopify plus benefits</t>
  </si>
  <si>
    <t xml:space="preserve">shopify plus customers</t>
  </si>
  <si>
    <t xml:space="preserve">shopify plus india</t>
  </si>
  <si>
    <t xml:space="preserve">shopify plus websites</t>
  </si>
  <si>
    <t xml:space="preserve">shopify sites in india</t>
  </si>
  <si>
    <t xml:space="preserve">shopify users in india</t>
  </si>
  <si>
    <t xml:space="preserve">top shopify experts in india</t>
  </si>
  <si>
    <t xml:space="preserve">amazon listing optimization service</t>
  </si>
  <si>
    <t xml:space="preserve">amazon advertising agency india</t>
  </si>
  <si>
    <t xml:space="preserve">how to get international buyers</t>
  </si>
  <si>
    <t xml:space="preserve">india shopify store</t>
  </si>
  <si>
    <t xml:space="preserve">shopify agency partners</t>
  </si>
  <si>
    <t xml:space="preserve">shopify agency san diego</t>
  </si>
  <si>
    <t xml:space="preserve">shopify clients india</t>
  </si>
  <si>
    <t xml:space="preserve">shopify designers india</t>
  </si>
  <si>
    <t xml:space="preserve">shopify development services india</t>
  </si>
  <si>
    <t xml:space="preserve">shopify expert agency</t>
  </si>
  <si>
    <t xml:space="preserve">shopify office in india</t>
  </si>
  <si>
    <t xml:space="preserve">shopify partners india</t>
  </si>
  <si>
    <t xml:space="preserve">shopify plus design</t>
  </si>
  <si>
    <t xml:space="preserve">shopify plus ecommerce</t>
  </si>
  <si>
    <t xml:space="preserve">shopify plus ecommerce agency</t>
  </si>
  <si>
    <t xml:space="preserve">shopify plus review</t>
  </si>
  <si>
    <t xml:space="preserve">shopify plus wiki</t>
  </si>
  <si>
    <t xml:space="preserve">shopify web design packages</t>
  </si>
  <si>
    <t xml:space="preserve">shopify website development services india</t>
  </si>
  <si>
    <t xml:space="preserve">top shopify agencies</t>
  </si>
  <si>
    <t xml:space="preserve">agence certifiée shopify</t>
  </si>
  <si>
    <t xml:space="preserve">agence e commerce shopify</t>
  </si>
  <si>
    <t xml:space="preserve">agence ecommerce shopify</t>
  </si>
  <si>
    <t xml:space="preserve">agence pm shopify</t>
  </si>
  <si>
    <t xml:space="preserve">agence shopify expert</t>
  </si>
  <si>
    <t xml:space="preserve">agence shopify expert france</t>
  </si>
  <si>
    <t xml:space="preserve">agence shopify france</t>
  </si>
  <si>
    <t xml:space="preserve">agence shopify lyon</t>
  </si>
  <si>
    <t xml:space="preserve">India – general marketing/SEO</t>
  </si>
  <si>
    <t xml:space="preserve">social media marketing agency</t>
  </si>
  <si>
    <t xml:space="preserve">affordable local seo services</t>
  </si>
  <si>
    <t xml:space="preserve">advertising company</t>
  </si>
  <si>
    <t xml:space="preserve">best digital marketing agency in india</t>
  </si>
  <si>
    <t xml:space="preserve">best content marketing companies</t>
  </si>
  <si>
    <t xml:space="preserve">content marketing services</t>
  </si>
  <si>
    <t xml:space="preserve">top digital marketing companies in india</t>
  </si>
  <si>
    <t xml:space="preserve">marketing companies</t>
  </si>
  <si>
    <t xml:space="preserve">best marketing companies in india</t>
  </si>
  <si>
    <t xml:space="preserve">top marketing companies in india</t>
  </si>
  <si>
    <t xml:space="preserve">content marketing services agency</t>
  </si>
  <si>
    <t xml:space="preserve">local seo services</t>
  </si>
  <si>
    <t xml:space="preserve">best digital marketing company</t>
  </si>
  <si>
    <t xml:space="preserve">digital marketing services near me</t>
  </si>
  <si>
    <t xml:space="preserve">advertising companies in india</t>
  </si>
  <si>
    <t xml:space="preserve">advertising agency in india</t>
  </si>
  <si>
    <t xml:space="preserve">content development services</t>
  </si>
  <si>
    <t xml:space="preserve">cms web development services</t>
  </si>
  <si>
    <t xml:space="preserve">I, C</t>
  </si>
  <si>
    <t xml:space="preserve">marketing and advertising agency</t>
  </si>
  <si>
    <t xml:space="preserve">marketing and advertising companies</t>
  </si>
  <si>
    <t xml:space="preserve">marketing and advertising firms</t>
  </si>
  <si>
    <t xml:space="preserve">seo expert from india</t>
  </si>
  <si>
    <t xml:space="preserve">best digital marketing agency near me</t>
  </si>
  <si>
    <t xml:space="preserve">T</t>
  </si>
  <si>
    <t xml:space="preserve">social media marketing companies</t>
  </si>
  <si>
    <t xml:space="preserve">top marketing agencies</t>
  </si>
  <si>
    <t xml:space="preserve">best marketing agencies</t>
  </si>
  <si>
    <t xml:space="preserve">social media marketing agency near me</t>
  </si>
  <si>
    <t xml:space="preserve">top advertising agencies</t>
  </si>
  <si>
    <t xml:space="preserve">seo consultant</t>
  </si>
  <si>
    <t xml:space="preserve">small business seo services</t>
  </si>
  <si>
    <t xml:space="preserve">seo charges in india</t>
  </si>
  <si>
    <t xml:space="preserve">seo price in india</t>
  </si>
  <si>
    <t xml:space="preserve">seo cost in india</t>
  </si>
  <si>
    <t xml:space="preserve">corporate website development</t>
  </si>
  <si>
    <t xml:space="preserve">custom software engineering</t>
  </si>
  <si>
    <t xml:space="preserve">pay per click advertising india</t>
  </si>
  <si>
    <t xml:space="preserve">top 10 digital marketing companies in india</t>
  </si>
  <si>
    <t xml:space="preserve">top 10 marketing company in india</t>
  </si>
  <si>
    <t xml:space="preserve">ppc management services india</t>
  </si>
  <si>
    <t xml:space="preserve">best seo expert in india</t>
  </si>
  <si>
    <t xml:space="preserve">seo packages india</t>
  </si>
  <si>
    <t xml:space="preserve">development company</t>
  </si>
  <si>
    <t xml:space="preserve">seo companies near me</t>
  </si>
  <si>
    <t xml:space="preserve">ppc company</t>
  </si>
  <si>
    <t xml:space="preserve">content marketing agency</t>
  </si>
  <si>
    <t xml:space="preserve">ad agencies in india</t>
  </si>
  <si>
    <t xml:space="preserve">mvp development services</t>
  </si>
  <si>
    <t xml:space="preserve">custom erp development</t>
  </si>
  <si>
    <t xml:space="preserve">seo consultant india</t>
  </si>
  <si>
    <t xml:space="preserve">website maintenance services</t>
  </si>
  <si>
    <t xml:space="preserve">top web development companies</t>
  </si>
  <si>
    <t xml:space="preserve">crm developer</t>
  </si>
  <si>
    <t xml:space="preserve">best social media marketing companies</t>
  </si>
  <si>
    <t xml:space="preserve">ppc company in india</t>
  </si>
  <si>
    <t xml:space="preserve">social media managment agency</t>
  </si>
  <si>
    <t xml:space="preserve">social media agency near me</t>
  </si>
  <si>
    <t xml:space="preserve">auburn digital solutions</t>
  </si>
  <si>
    <t xml:space="preserve">mvp development company</t>
  </si>
  <si>
    <t xml:space="preserve">seo pricing</t>
  </si>
  <si>
    <t xml:space="preserve">seo near me</t>
  </si>
  <si>
    <t xml:space="preserve">seo cost</t>
  </si>
  <si>
    <t xml:space="preserve">ਯ</t>
  </si>
  <si>
    <t xml:space="preserve">seo charges</t>
  </si>
  <si>
    <t xml:space="preserve">cost effective digital marketing</t>
  </si>
  <si>
    <t xml:space="preserve">crm development company</t>
  </si>
  <si>
    <t xml:space="preserve">web design near me</t>
  </si>
  <si>
    <t xml:space="preserve">top web designing companies in india</t>
  </si>
  <si>
    <t xml:space="preserve">backend development company</t>
  </si>
  <si>
    <t xml:space="preserve">custom software development company in india</t>
  </si>
  <si>
    <t xml:space="preserve">content marketing agency india</t>
  </si>
  <si>
    <t xml:space="preserve">ppc agency</t>
  </si>
  <si>
    <t xml:space="preserve">social media marketing agency services</t>
  </si>
  <si>
    <t xml:space="preserve">content marketing companies in india</t>
  </si>
  <si>
    <t xml:space="preserve">top marketing agencies in india</t>
  </si>
  <si>
    <t xml:space="preserve">creative marketing agency</t>
  </si>
  <si>
    <t xml:space="preserve">best mobile app development company</t>
  </si>
  <si>
    <t xml:space="preserve">best advertising company in india</t>
  </si>
  <si>
    <t xml:space="preserve">online reputation management services</t>
  </si>
  <si>
    <t xml:space="preserve">hire laravel developers in india</t>
  </si>
  <si>
    <t xml:space="preserve">local seo services india</t>
  </si>
  <si>
    <t xml:space="preserve">affordable seo services</t>
  </si>
  <si>
    <t xml:space="preserve">ਕ</t>
  </si>
  <si>
    <t xml:space="preserve">ਬ</t>
  </si>
  <si>
    <t xml:space="preserve">digital marketing packages</t>
  </si>
  <si>
    <t xml:space="preserve">social media optimization services</t>
  </si>
  <si>
    <t xml:space="preserve">seo off page activities</t>
  </si>
  <si>
    <t xml:space="preserve">digital marketing company names</t>
  </si>
  <si>
    <t xml:space="preserve">content marketing companies</t>
  </si>
  <si>
    <t xml:space="preserve">best marketing companies</t>
  </si>
  <si>
    <t xml:space="preserve">digital marketing agency in andheri</t>
  </si>
  <si>
    <t xml:space="preserve">best email marketing company in india</t>
  </si>
  <si>
    <t xml:space="preserve">digital marketing website design</t>
  </si>
  <si>
    <t xml:space="preserve">best marketing agencies in india</t>
  </si>
  <si>
    <t xml:space="preserve">creative agency in india</t>
  </si>
  <si>
    <t xml:space="preserve">content creation companies</t>
  </si>
  <si>
    <t xml:space="preserve">top advertising companies in india</t>
  </si>
  <si>
    <t xml:space="preserve">wordpress website design company india</t>
  </si>
  <si>
    <t xml:space="preserve">enterprise seo services</t>
  </si>
  <si>
    <t xml:space="preserve">enterprise seo optimization services</t>
  </si>
  <si>
    <t xml:space="preserve">ਚ</t>
  </si>
  <si>
    <t xml:space="preserve">bestoseo</t>
  </si>
  <si>
    <t xml:space="preserve">best seo blogs</t>
  </si>
  <si>
    <t xml:space="preserve">karnataka digital and web development</t>
  </si>
  <si>
    <t xml:space="preserve">backend process</t>
  </si>
  <si>
    <t xml:space="preserve">backend team</t>
  </si>
  <si>
    <t xml:space="preserve">cms development company</t>
  </si>
  <si>
    <t xml:space="preserve">online marketing companies</t>
  </si>
  <si>
    <t xml:space="preserve">best digital marketing services in india</t>
  </si>
  <si>
    <t xml:space="preserve">top digital marketing agencies</t>
  </si>
  <si>
    <t xml:space="preserve">digital agency near me</t>
  </si>
  <si>
    <t xml:space="preserve">digital marketing services list</t>
  </si>
  <si>
    <t xml:space="preserve">top 10 digital marketing agencies in india</t>
  </si>
  <si>
    <t xml:space="preserve">digital agency website</t>
  </si>
  <si>
    <t xml:space="preserve">email marketing agencies in india</t>
  </si>
  <si>
    <t xml:space="preserve">local seo agency</t>
  </si>
  <si>
    <t xml:space="preserve">content marketing services india</t>
  </si>
  <si>
    <t xml:space="preserve">search engine marketing services</t>
  </si>
  <si>
    <t xml:space="preserve">best social media marketing agency india</t>
  </si>
  <si>
    <t xml:space="preserve">ppc management services</t>
  </si>
  <si>
    <t xml:space="preserve">wordpress website design agency</t>
  </si>
  <si>
    <t xml:space="preserve">creative ad agency</t>
  </si>
  <si>
    <t xml:space="preserve">sem company</t>
  </si>
  <si>
    <t xml:space="preserve">best digital marketer near me</t>
  </si>
  <si>
    <t xml:space="preserve">wordpress website design company</t>
  </si>
  <si>
    <t xml:space="preserve">best mobile app development company in india</t>
  </si>
  <si>
    <t xml:space="preserve">creative advertising agency</t>
  </si>
  <si>
    <t xml:space="preserve">local search engine optimization agencies</t>
  </si>
  <si>
    <t xml:space="preserve">social media marketing service in india</t>
  </si>
  <si>
    <t xml:space="preserve">social media marketing services india</t>
  </si>
  <si>
    <t xml:space="preserve">dentist seo service</t>
  </si>
  <si>
    <t xml:space="preserve">wordpress seo company</t>
  </si>
  <si>
    <t xml:space="preserve">seo packages for small business</t>
  </si>
  <si>
    <t xml:space="preserve">ਜ</t>
  </si>
  <si>
    <t xml:space="preserve">ਨ</t>
  </si>
  <si>
    <t xml:space="preserve">ਹ</t>
  </si>
  <si>
    <t xml:space="preserve">automotive seo</t>
  </si>
  <si>
    <t xml:space="preserve">affordable seo services for small business</t>
  </si>
  <si>
    <t xml:space="preserve">top 10 seo companies in india</t>
  </si>
  <si>
    <t xml:space="preserve">off page seo checklist</t>
  </si>
  <si>
    <t xml:space="preserve">affordable website development company</t>
  </si>
  <si>
    <t xml:space="preserve">affordable web design agency</t>
  </si>
  <si>
    <t xml:space="preserve">cheap web development company</t>
  </si>
  <si>
    <t xml:space="preserve">web design agency near me</t>
  </si>
  <si>
    <t xml:space="preserve">erp development company</t>
  </si>
  <si>
    <t xml:space="preserve">digital marketing services company in india</t>
  </si>
  <si>
    <t xml:space="preserve">online marketing services</t>
  </si>
  <si>
    <t xml:space="preserve">content creation agency</t>
  </si>
  <si>
    <t xml:space="preserve">digital marketing services for small business</t>
  </si>
  <si>
    <t xml:space="preserve">social media advertising services</t>
  </si>
  <si>
    <t xml:space="preserve">best content marketing services</t>
  </si>
  <si>
    <t xml:space="preserve">seo company austin tx</t>
  </si>
  <si>
    <t xml:space="preserve">conversion optimization services</t>
  </si>
  <si>
    <t xml:space="preserve">affiliate marketing agency india</t>
  </si>
  <si>
    <t xml:space="preserve">best social media marketing agencies in india</t>
  </si>
  <si>
    <t xml:space="preserve">conversion optimisation services</t>
  </si>
  <si>
    <t xml:space="preserve">conversion rate optimization services</t>
  </si>
  <si>
    <t xml:space="preserve">seo agencies austin</t>
  </si>
  <si>
    <t xml:space="preserve">social media ad services</t>
  </si>
  <si>
    <t xml:space="preserve">top ten marketing company in india</t>
  </si>
  <si>
    <t xml:space="preserve">local seo company in india</t>
  </si>
  <si>
    <t xml:space="preserve">local seo company india</t>
  </si>
  <si>
    <t xml:space="preserve">online reputation management services india</t>
  </si>
  <si>
    <t xml:space="preserve">top marketing companies in the world</t>
  </si>
  <si>
    <t xml:space="preserve">online reputation management services in india</t>
  </si>
  <si>
    <t xml:space="preserve">car seo</t>
  </si>
  <si>
    <t xml:space="preserve">organic search engine optimization services</t>
  </si>
  <si>
    <t xml:space="preserve">seo specialist india</t>
  </si>
  <si>
    <t xml:space="preserve">local seo services for small business</t>
  </si>
  <si>
    <t xml:space="preserve">seo is a subset of</t>
  </si>
  <si>
    <t xml:space="preserve">orm services</t>
  </si>
  <si>
    <t xml:space="preserve">website designing services near me</t>
  </si>
  <si>
    <t xml:space="preserve">cheap website design company</t>
  </si>
  <si>
    <t xml:space="preserve">affordable website design company</t>
  </si>
  <si>
    <t xml:space="preserve">crm development services</t>
  </si>
  <si>
    <t xml:space="preserve">cheap web design company</t>
  </si>
  <si>
    <t xml:space="preserve">erp development services</t>
  </si>
  <si>
    <t xml:space="preserve">erp software development company in india</t>
  </si>
  <si>
    <t xml:space="preserve">erp software development services</t>
  </si>
  <si>
    <t xml:space="preserve">mvp app development company</t>
  </si>
  <si>
    <t xml:space="preserve">digital marketing agency for financial services</t>
  </si>
  <si>
    <t xml:space="preserve">creative digital marketing agency</t>
  </si>
  <si>
    <t xml:space="preserve">organic seo services india</t>
  </si>
  <si>
    <t xml:space="preserve">search marketing agency</t>
  </si>
  <si>
    <t xml:space="preserve">affordable digital marketing services</t>
  </si>
  <si>
    <t xml:space="preserve">top 5 digital marketing companies in india</t>
  </si>
  <si>
    <t xml:space="preserve">top digital marketing agencies in india</t>
  </si>
  <si>
    <t xml:space="preserve">search engine marketing agency</t>
  </si>
  <si>
    <t xml:space="preserve">ppc management company</t>
  </si>
  <si>
    <t xml:space="preserve">saroj ads social media marketing company</t>
  </si>
  <si>
    <t xml:space="preserve">advertising agencies association of india</t>
  </si>
  <si>
    <t xml:space="preserve">best ppc agency</t>
  </si>
  <si>
    <t xml:space="preserve">best ppc company</t>
  </si>
  <si>
    <t xml:space="preserve">content agency</t>
  </si>
  <si>
    <t xml:space="preserve">sem advertising agency</t>
  </si>
  <si>
    <t xml:space="preserve">sem agency</t>
  </si>
  <si>
    <t xml:space="preserve">top 10 digital marketing agencies</t>
  </si>
  <si>
    <t xml:space="preserve">online reputation management agency</t>
  </si>
  <si>
    <t xml:space="preserve">content creation marketing agency</t>
  </si>
  <si>
    <t xml:space="preserve">social media services india</t>
  </si>
  <si>
    <t xml:space="preserve">best social media marketing agency in india</t>
  </si>
  <si>
    <t xml:space="preserve">marketing consultant near me</t>
  </si>
  <si>
    <t xml:space="preserve">top ppc agencies</t>
  </si>
  <si>
    <t xml:space="preserve">creative agency website</t>
  </si>
  <si>
    <t xml:space="preserve">social media content creation agency</t>
  </si>
  <si>
    <t xml:space="preserve">crm development</t>
  </si>
  <si>
    <t xml:space="preserve">seo india higherup</t>
  </si>
  <si>
    <t xml:space="preserve">affordable seo company india</t>
  </si>
  <si>
    <t xml:space="preserve">guaranteed results</t>
  </si>
  <si>
    <t xml:space="preserve">ਆ</t>
  </si>
  <si>
    <t xml:space="preserve">ਦ</t>
  </si>
  <si>
    <t xml:space="preserve">seo company ontario</t>
  </si>
  <si>
    <t xml:space="preserve">affordable seo agency india</t>
  </si>
  <si>
    <t xml:space="preserve">attorney seo markting</t>
  </si>
  <si>
    <t xml:space="preserve">marketing services pricing</t>
  </si>
  <si>
    <t xml:space="preserve">seo agency gold coast</t>
  </si>
  <si>
    <t xml:space="preserve">cleaning business</t>
  </si>
  <si>
    <t xml:space="preserve">seo reseller india</t>
  </si>
  <si>
    <t xml:space="preserve">local seo near me</t>
  </si>
  <si>
    <t xml:space="preserve">off page seo services</t>
  </si>
  <si>
    <t xml:space="preserve">ontario seo company</t>
  </si>
  <si>
    <t xml:space="preserve">pak seo services</t>
  </si>
  <si>
    <t xml:space="preserve">seo company in ontario</t>
  </si>
  <si>
    <t xml:space="preserve">digital marketing pricing</t>
  </si>
  <si>
    <t xml:space="preserve">digital marketing pricing packages</t>
  </si>
  <si>
    <t xml:space="preserve">local seo for small business</t>
  </si>
  <si>
    <t xml:space="preserve">website design services near me</t>
  </si>
  <si>
    <t xml:space="preserve">website solutions india</t>
  </si>
  <si>
    <t xml:space="preserve">cms website development services</t>
  </si>
  <si>
    <t xml:space="preserve">custom web development services</t>
  </si>
  <si>
    <t xml:space="preserve">website development blog</t>
  </si>
  <si>
    <t xml:space="preserve">website experts</t>
  </si>
  <si>
    <t xml:space="preserve">custom crm development company</t>
  </si>
  <si>
    <t xml:space="preserve">web development company in andheri</t>
  </si>
  <si>
    <t xml:space="preserve">web development blog</t>
  </si>
  <si>
    <t xml:space="preserve">website design company in andheri</t>
  </si>
  <si>
    <t xml:space="preserve">digital marketing agency in yamunanagar</t>
  </si>
  <si>
    <t xml:space="preserve">top digital marketing service</t>
  </si>
  <si>
    <t xml:space="preserve">cheap digital marketing agency</t>
  </si>
  <si>
    <t xml:space="preserve">online advertising companies</t>
  </si>
  <si>
    <t xml:space="preserve">online marketing company in india</t>
  </si>
  <si>
    <t xml:space="preserve">digital marketing firms near me</t>
  </si>
  <si>
    <t xml:space="preserve">top 10 digital marketing companies</t>
  </si>
  <si>
    <t xml:space="preserve">best digital marketing consultants in india</t>
  </si>
  <si>
    <t xml:space="preserve">digital marketing audit service</t>
  </si>
  <si>
    <t xml:space="preserve">marketing companies in india</t>
  </si>
  <si>
    <t xml:space="preserve">online ad companies</t>
  </si>
  <si>
    <t xml:space="preserve">top 10 digital marketing websites</t>
  </si>
  <si>
    <t xml:space="preserve">seo web company</t>
  </si>
  <si>
    <t xml:space="preserve">social media marketing companies for small business</t>
  </si>
  <si>
    <t xml:space="preserve">digital marketing agency kuala lumpur</t>
  </si>
  <si>
    <t xml:space="preserve">digital marketing companies in miami</t>
  </si>
  <si>
    <t xml:space="preserve">media advertising agency</t>
  </si>
  <si>
    <t xml:space="preserve">miami online marketing agency</t>
  </si>
  <si>
    <t xml:space="preserve">online reputation agency</t>
  </si>
  <si>
    <t xml:space="preserve">seo agency in san francisco</t>
  </si>
  <si>
    <t xml:space="preserve">smm agency</t>
  </si>
  <si>
    <t xml:space="preserve">social media ad companies</t>
  </si>
  <si>
    <t xml:space="preserve">website design calgary</t>
  </si>
  <si>
    <t xml:space="preserve">best social media agency</t>
  </si>
  <si>
    <t xml:space="preserve">content company</t>
  </si>
  <si>
    <t xml:space="preserve">seo agency san francisco</t>
  </si>
  <si>
    <t xml:space="preserve">seo company san francisco</t>
  </si>
  <si>
    <t xml:space="preserve">social media company india</t>
  </si>
  <si>
    <t xml:space="preserve">yashus digital marketing pvt ltd</t>
  </si>
  <si>
    <t xml:space="preserve">html company</t>
  </si>
  <si>
    <t xml:space="preserve">laravel app development company</t>
  </si>
  <si>
    <t xml:space="preserve">optimize consulting</t>
  </si>
  <si>
    <t xml:space="preserve">search engine optimisation consultants</t>
  </si>
  <si>
    <t xml:space="preserve">wordpress seo services</t>
  </si>
  <si>
    <t xml:space="preserve">affordable local seo packages</t>
  </si>
  <si>
    <t xml:space="preserve">enterprise seo firms</t>
  </si>
  <si>
    <t xml:space="preserve">seo expert in bangladesh</t>
  </si>
  <si>
    <t xml:space="preserve">dentaweb services</t>
  </si>
  <si>
    <t xml:space="preserve">seo package prices</t>
  </si>
  <si>
    <t xml:space="preserve">seo reseller services</t>
  </si>
  <si>
    <t xml:space="preserve">ੋ</t>
  </si>
  <si>
    <t xml:space="preserve">link building services in india</t>
  </si>
  <si>
    <t xml:space="preserve">seo principles</t>
  </si>
  <si>
    <t xml:space="preserve">content creation services</t>
  </si>
  <si>
    <t xml:space="preserve">friendly url</t>
  </si>
  <si>
    <t xml:space="preserve">guaranteed seo services</t>
  </si>
  <si>
    <t xml:space="preserve">monthly seo packages</t>
  </si>
  <si>
    <t xml:space="preserve">social media optimization agency</t>
  </si>
  <si>
    <t xml:space="preserve">social media optimization company</t>
  </si>
  <si>
    <t xml:space="preserve">freelance seo expert</t>
  </si>
  <si>
    <t xml:space="preserve">legal seo service</t>
  </si>
  <si>
    <t xml:space="preserve">legal seo services</t>
  </si>
  <si>
    <t xml:space="preserve">social media branding services</t>
  </si>
  <si>
    <t xml:space="preserve">linkbuilding specialist</t>
  </si>
  <si>
    <t xml:space="preserve">seo agency birmingham</t>
  </si>
  <si>
    <t xml:space="preserve">seo agency in birmingham</t>
  </si>
  <si>
    <t xml:space="preserve">seo friendly website</t>
  </si>
  <si>
    <t xml:space="preserve">custom web design services</t>
  </si>
  <si>
    <t xml:space="preserve">custom website design services</t>
  </si>
  <si>
    <t xml:space="preserve">best web designers in india</t>
  </si>
  <si>
    <t xml:space="preserve">cms development services</t>
  </si>
  <si>
    <t xml:space="preserve">crm development company in india</t>
  </si>
  <si>
    <t xml:space="preserve">crm software development services</t>
  </si>
  <si>
    <t xml:space="preserve">indian website maker</t>
  </si>
  <si>
    <t xml:space="preserve">low price website design in india</t>
  </si>
  <si>
    <t xml:space="preserve">seo services in rohini</t>
  </si>
  <si>
    <t xml:space="preserve">custom crm development</t>
  </si>
  <si>
    <t xml:space="preserve">software development services india</t>
  </si>
  <si>
    <t xml:space="preserve">digital advertising companies</t>
  </si>
  <si>
    <t xml:space="preserve">complete digital marketing solutions</t>
  </si>
  <si>
    <t xml:space="preserve">digital marketing mnc companies</t>
  </si>
  <si>
    <t xml:space="preserve">my digital agency</t>
  </si>
  <si>
    <t xml:space="preserve">I, T</t>
  </si>
  <si>
    <t xml:space="preserve">direct marketing agency</t>
  </si>
  <si>
    <t xml:space="preserve">marketing firms in india</t>
  </si>
  <si>
    <t xml:space="preserve">search engine marketing near me</t>
  </si>
  <si>
    <t xml:space="preserve">sem near me</t>
  </si>
  <si>
    <t xml:space="preserve">best digital marketing agencies in the world</t>
  </si>
  <si>
    <t xml:space="preserve">biggest digital marketing companies in india</t>
  </si>
  <si>
    <t xml:space="preserve">marketing for financial institutions</t>
  </si>
  <si>
    <t xml:space="preserve">pay per click advertising company</t>
  </si>
  <si>
    <t xml:space="preserve">digital marketing service near me</t>
  </si>
  <si>
    <t xml:space="preserve">social media management in india</t>
  </si>
  <si>
    <t xml:space="preserve">high paying affiliate programs in india</t>
  </si>
  <si>
    <t xml:space="preserve">highest paying affiliate programs in india</t>
  </si>
  <si>
    <t xml:space="preserve">india affiliate summit</t>
  </si>
  <si>
    <t xml:space="preserve">best digital agencies</t>
  </si>
  <si>
    <t xml:space="preserve">best local seo agency</t>
  </si>
  <si>
    <t xml:space="preserve">best local seo company</t>
  </si>
  <si>
    <t xml:space="preserve">best seo agency rankstar</t>
  </si>
  <si>
    <t xml:space="preserve">seo irvine ca</t>
  </si>
  <si>
    <t xml:space="preserve">best local search engine optimization company</t>
  </si>
  <si>
    <t xml:space="preserve">online reputation management can help you mcq</t>
  </si>
  <si>
    <t xml:space="preserve">ppc expert india</t>
  </si>
  <si>
    <t xml:space="preserve">web design companies in brampton</t>
  </si>
  <si>
    <t xml:space="preserve">custom erp software development</t>
  </si>
  <si>
    <t xml:space="preserve">hire expert laravel developer</t>
  </si>
  <si>
    <t xml:space="preserve">low cost website design company in india</t>
  </si>
  <si>
    <t xml:space="preserve">financial seo services</t>
  </si>
  <si>
    <t xml:space="preserve">seo services pricing</t>
  </si>
  <si>
    <t xml:space="preserve">best seo expert</t>
  </si>
  <si>
    <t xml:space="preserve">hire seo specialist</t>
  </si>
  <si>
    <t xml:space="preserve">organic search engine optimization company</t>
  </si>
  <si>
    <t xml:space="preserve">seo freelance services</t>
  </si>
  <si>
    <t xml:space="preserve">cheap seo services india</t>
  </si>
  <si>
    <t xml:space="preserve">seo for therapists</t>
  </si>
  <si>
    <t xml:space="preserve">seo service for dentist</t>
  </si>
  <si>
    <t xml:space="preserve">global seo agency</t>
  </si>
  <si>
    <t xml:space="preserve">local seo for dentists</t>
  </si>
  <si>
    <t xml:space="preserve">freelance seo expert india</t>
  </si>
  <si>
    <t xml:space="preserve">seo services for dentists</t>
  </si>
  <si>
    <t xml:space="preserve">white hat seo services</t>
  </si>
  <si>
    <t xml:space="preserve">affordable seo packages in india</t>
  </si>
  <si>
    <t xml:space="preserve">seo agency edinburgh</t>
  </si>
  <si>
    <t xml:space="preserve">seo company birmingham</t>
  </si>
  <si>
    <t xml:space="preserve">seo elements</t>
  </si>
  <si>
    <t xml:space="preserve">seo glossary</t>
  </si>
  <si>
    <t xml:space="preserve">ਏ</t>
  </si>
  <si>
    <t xml:space="preserve">affordable seo packages india</t>
  </si>
  <si>
    <t xml:space="preserve">book cleaning service</t>
  </si>
  <si>
    <t xml:space="preserve">cleaning services booking</t>
  </si>
  <si>
    <t xml:space="preserve">seo company in edinburgh</t>
  </si>
  <si>
    <t xml:space="preserve">seo friendly web design</t>
  </si>
  <si>
    <t xml:space="preserve">seo friendly website design</t>
  </si>
  <si>
    <t xml:space="preserve">travel seo</t>
  </si>
  <si>
    <t xml:space="preserve">travel seo services</t>
  </si>
  <si>
    <t xml:space="preserve">best ppc company in india</t>
  </si>
  <si>
    <t xml:space="preserve">search engine marketing price in india</t>
  </si>
  <si>
    <t xml:space="preserve">seo cost per month in india</t>
  </si>
  <si>
    <t xml:space="preserve">web maintenance company</t>
  </si>
  <si>
    <t xml:space="preserve">website maintenance company</t>
  </si>
  <si>
    <t xml:space="preserve">low cost web design company</t>
  </si>
  <si>
    <t xml:space="preserve">cms integration</t>
  </si>
  <si>
    <t xml:space="preserve">cms site builder</t>
  </si>
  <si>
    <t xml:space="preserve">cms web development company</t>
  </si>
  <si>
    <t xml:space="preserve">cms website development company</t>
  </si>
  <si>
    <t xml:space="preserve">custom cms development services</t>
  </si>
  <si>
    <t xml:space="preserve">affordable website design in india</t>
  </si>
  <si>
    <t xml:space="preserve">affordable website design india</t>
  </si>
  <si>
    <t xml:space="preserve">crm consulting services</t>
  </si>
  <si>
    <t xml:space="preserve">crm software development company in india</t>
  </si>
  <si>
    <t xml:space="preserve">expert web design</t>
  </si>
  <si>
    <t xml:space="preserve">small business website design services</t>
  </si>
  <si>
    <t xml:space="preserve">affordable web design company in india</t>
  </si>
  <si>
    <t xml:space="preserve">affordable web design india</t>
  </si>
  <si>
    <t xml:space="preserve">cheap web design india</t>
  </si>
  <si>
    <t xml:space="preserve">ecom consulting</t>
  </si>
  <si>
    <t xml:space="preserve">digital marketing agency in okhla</t>
  </si>
  <si>
    <t xml:space="preserve">digital marketing firms in india</t>
  </si>
  <si>
    <t xml:space="preserve">top digital marketing services in india</t>
  </si>
  <si>
    <t xml:space="preserve">digital ad agencies near me</t>
  </si>
  <si>
    <t xml:space="preserve">digital marketing agency social media</t>
  </si>
  <si>
    <t xml:space="preserve">digital advertising agencies near me</t>
  </si>
  <si>
    <t xml:space="preserve">conversion optimization agency</t>
  </si>
  <si>
    <t xml:space="preserve">digital marketing for financial services</t>
  </si>
  <si>
    <t xml:space="preserve">tech marketing agency</t>
  </si>
  <si>
    <t xml:space="preserve">top 5 ad agencies in the world</t>
  </si>
  <si>
    <t xml:space="preserve">top 5 advertising agencies in the world</t>
  </si>
  <si>
    <t xml:space="preserve">top digital marketing agencies in the world</t>
  </si>
  <si>
    <t xml:space="preserve">conversion rate optimization agency</t>
  </si>
  <si>
    <t xml:space="preserve">seo and digital marketing services</t>
  </si>
  <si>
    <t xml:space="preserve">social media marketing services near me</t>
  </si>
  <si>
    <t xml:space="preserve">advertising firm</t>
  </si>
  <si>
    <t xml:space="preserve">digital marketing company phoenix</t>
  </si>
  <si>
    <t xml:space="preserve">product marketing services</t>
  </si>
  <si>
    <t xml:space="preserve">social marketing agency</t>
  </si>
  <si>
    <t xml:space="preserve">affiliate marketing companies 2020</t>
  </si>
  <si>
    <t xml:space="preserve">best content marketing agencies</t>
  </si>
  <si>
    <t xml:space="preserve">small business seo solutions</t>
  </si>
  <si>
    <t xml:space="preserve">top 10 marketing agency in india</t>
  </si>
  <si>
    <t xml:space="preserve">biggest marketing agencies in india</t>
  </si>
  <si>
    <t xml:space="preserve">digital marketing agency phoenix</t>
  </si>
  <si>
    <t xml:space="preserve">local seo in india</t>
  </si>
  <si>
    <t xml:space="preserve">local seo india</t>
  </si>
  <si>
    <t xml:space="preserve">netgains it &amp; digital marketing</t>
  </si>
  <si>
    <t xml:space="preserve">seo birds marketing pvt ltd</t>
  </si>
  <si>
    <t xml:space="preserve">seo hyd</t>
  </si>
  <si>
    <t xml:space="preserve">webcreationuk</t>
  </si>
  <si>
    <t xml:space="preserve">biggest marketing companies in india</t>
  </si>
  <si>
    <t xml:space="preserve">ppc agency india</t>
  </si>
  <si>
    <t xml:space="preserve">social media marketing agency nyc</t>
  </si>
  <si>
    <t xml:space="preserve">best ad companies</t>
  </si>
  <si>
    <t xml:space="preserve">best digital marketing consultant in india</t>
  </si>
  <si>
    <t xml:space="preserve">media agencies in india</t>
  </si>
  <si>
    <t xml:space="preserve">react web development company</t>
  </si>
  <si>
    <t xml:space="preserve">top 10 marketing agencies in india</t>
  </si>
  <si>
    <t xml:space="preserve">top advertising companies</t>
  </si>
  <si>
    <t xml:space="preserve">seo services packages</t>
  </si>
  <si>
    <t xml:space="preserve">best seo consultant in india</t>
  </si>
  <si>
    <t xml:space="preserve">enterprise website</t>
  </si>
  <si>
    <t xml:space="preserve">low price seo services</t>
  </si>
  <si>
    <t xml:space="preserve">car dealer seo</t>
  </si>
  <si>
    <t xml:space="preserve">freelance seo expert in india</t>
  </si>
  <si>
    <t xml:space="preserve">affordable seo services in india</t>
  </si>
  <si>
    <t xml:space="preserve">affordable small business seo</t>
  </si>
  <si>
    <t xml:space="preserve">seo service benefits</t>
  </si>
  <si>
    <t xml:space="preserve">digital marketing agency cost</t>
  </si>
  <si>
    <t xml:space="preserve">digital marketing agency pricing</t>
  </si>
  <si>
    <t xml:space="preserve">digital marketing agency rates</t>
  </si>
  <si>
    <t xml:space="preserve">hire seo expert in india</t>
  </si>
  <si>
    <t xml:space="preserve">seo company in saudi arabia</t>
  </si>
  <si>
    <t xml:space="preserve">seo company saudi arabia</t>
  </si>
  <si>
    <t xml:space="preserve">affordable seo india</t>
  </si>
  <si>
    <t xml:space="preserve">cleaning service seo</t>
  </si>
  <si>
    <t xml:space="preserve">cleaning services seo</t>
  </si>
  <si>
    <t xml:space="preserve">pretty url</t>
  </si>
  <si>
    <t xml:space="preserve">properly optimized url</t>
  </si>
  <si>
    <t xml:space="preserve">remote seo</t>
  </si>
  <si>
    <t xml:space="preserve">seo company leeds</t>
  </si>
  <si>
    <t xml:space="preserve">seo for auto</t>
  </si>
  <si>
    <t xml:space="preserve">seo services in saudi arabia</t>
  </si>
  <si>
    <t xml:space="preserve">seo work from home</t>
  </si>
  <si>
    <t xml:space="preserve">carpet cleaning seo</t>
  </si>
  <si>
    <t xml:space="preserve">online cleaning company</t>
  </si>
  <si>
    <t xml:space="preserve">seo car</t>
  </si>
  <si>
    <t xml:space="preserve">seo package price in india</t>
  </si>
  <si>
    <t xml:space="preserve">seo reseller plans</t>
  </si>
  <si>
    <t xml:space="preserve">seo reseller program</t>
  </si>
  <si>
    <t xml:space="preserve">search engine optimization work from home</t>
  </si>
  <si>
    <t xml:space="preserve">seo for automotive</t>
  </si>
  <si>
    <t xml:space="preserve">seo for cleaning company</t>
  </si>
  <si>
    <t xml:space="preserve">onlineshop agentur</t>
  </si>
  <si>
    <t xml:space="preserve">marketing agency usa</t>
  </si>
  <si>
    <t xml:space="preserve">Abroad (India-database volume – verify in US/UK/UAE DB)</t>
  </si>
  <si>
    <t xml:space="preserve">seo agency usa</t>
  </si>
  <si>
    <t xml:space="preserve">best seo agency in dubai</t>
  </si>
  <si>
    <t xml:space="preserve">mobile app development company in usa</t>
  </si>
  <si>
    <t xml:space="preserve">digital marketing companies in canada</t>
  </si>
  <si>
    <t xml:space="preserve">digital marketing agency in canada</t>
  </si>
  <si>
    <t xml:space="preserve">seo expert dubai</t>
  </si>
  <si>
    <t xml:space="preserve">digital marketing companies in california</t>
  </si>
  <si>
    <t xml:space="preserve">digital marketing company malaysia</t>
  </si>
  <si>
    <t xml:space="preserve">seo company california</t>
  </si>
  <si>
    <t xml:space="preserve">social media marketing agency in dubai</t>
  </si>
  <si>
    <t xml:space="preserve">advertising companies in dubai</t>
  </si>
  <si>
    <t xml:space="preserve">seo expert california</t>
  </si>
  <si>
    <t xml:space="preserve">california seo expert</t>
  </si>
  <si>
    <t xml:space="preserve">seo company in canada</t>
  </si>
  <si>
    <t xml:space="preserve">custom software development company usa</t>
  </si>
  <si>
    <t xml:space="preserve">digital marketing agency malaysia</t>
  </si>
  <si>
    <t xml:space="preserve">online marketing agency malaysia</t>
  </si>
  <si>
    <t xml:space="preserve">best seo and smo company in usa</t>
  </si>
  <si>
    <t xml:space="preserve">shopify development company in usa</t>
  </si>
  <si>
    <t xml:space="preserve">digital marketing usa</t>
  </si>
  <si>
    <t xml:space="preserve">digital marketing agency florida</t>
  </si>
  <si>
    <t xml:space="preserve">best seo agency uk</t>
  </si>
  <si>
    <t xml:space="preserve">dallas mobile app development company</t>
  </si>
  <si>
    <t xml:space="preserve">mobile app development company dallas</t>
  </si>
  <si>
    <t xml:space="preserve">mobile app development company in dallas</t>
  </si>
  <si>
    <t xml:space="preserve">custom software development in usa</t>
  </si>
  <si>
    <t xml:space="preserve">website design company in california</t>
  </si>
  <si>
    <t xml:space="preserve">marketing agency canada</t>
  </si>
  <si>
    <t xml:space="preserve">seo agency in texas</t>
  </si>
  <si>
    <t xml:space="preserve">florida seo agency</t>
  </si>
  <si>
    <t xml:space="preserve">digital marketing services uae</t>
  </si>
  <si>
    <t xml:space="preserve">dallas ppc agency</t>
  </si>
  <si>
    <t xml:space="preserve">marketing agencies in florida</t>
  </si>
  <si>
    <t xml:space="preserve">best digital marketing agency in uae</t>
  </si>
  <si>
    <t xml:space="preserve">ppc agency dallas</t>
  </si>
  <si>
    <t xml:space="preserve">top 10 digital marketing agencies in dubai</t>
  </si>
  <si>
    <t xml:space="preserve">top 10 digital marketing agency in dubai</t>
  </si>
  <si>
    <t xml:space="preserve">seo packages dubai</t>
  </si>
  <si>
    <t xml:space="preserve">web development company in california</t>
  </si>
  <si>
    <t xml:space="preserve">top marketing companies in usa</t>
  </si>
  <si>
    <t xml:space="preserve">florida website design company</t>
  </si>
  <si>
    <t xml:space="preserve">graphic design companies in australia</t>
  </si>
  <si>
    <t xml:space="preserve">phone services small business dallas</t>
  </si>
  <si>
    <t xml:space="preserve">seo services california</t>
  </si>
  <si>
    <t xml:space="preserve">social media marketing new york</t>
  </si>
  <si>
    <t xml:space="preserve">best marketing agency dubai</t>
  </si>
  <si>
    <t xml:space="preserve">best marketing companies in dubai</t>
  </si>
  <si>
    <t xml:space="preserve">affordable seo company in usa</t>
  </si>
  <si>
    <t xml:space="preserve">best seo services in united states</t>
  </si>
  <si>
    <t xml:space="preserve">canada seo services</t>
  </si>
  <si>
    <t xml:space="preserve">shopify agency australia</t>
  </si>
  <si>
    <t xml:space="preserve">shopify agency sydney</t>
  </si>
  <si>
    <t xml:space="preserve">shopify experts singapore</t>
  </si>
  <si>
    <t xml:space="preserve">uk shopify agency</t>
  </si>
  <si>
    <t xml:space="preserve">shopify agency london</t>
  </si>
  <si>
    <t xml:space="preserve">shopify agency new york</t>
  </si>
  <si>
    <t xml:space="preserve">shopify agency uk</t>
  </si>
  <si>
    <t xml:space="preserve">shopify experts australia</t>
  </si>
  <si>
    <t xml:space="preserve">shopify experts canada</t>
  </si>
  <si>
    <t xml:space="preserve">Outsourcing / white-label</t>
  </si>
  <si>
    <t xml:space="preserve">seo outsourcing company india</t>
  </si>
  <si>
    <t xml:space="preserve">outsource seo company india</t>
  </si>
  <si>
    <t xml:space="preserve">seo outsourcing company in india</t>
  </si>
  <si>
    <t xml:space="preserve">white label seo agency</t>
  </si>
  <si>
    <t xml:space="preserve">outsource seo services</t>
  </si>
  <si>
    <t xml:space="preserve">white label local seo services</t>
  </si>
  <si>
    <t xml:space="preserve">outsource seo</t>
  </si>
  <si>
    <t xml:space="preserve">outsource seo company</t>
  </si>
  <si>
    <t xml:space="preserve">seo outsourcing company</t>
  </si>
  <si>
    <t xml:space="preserve">white label linkbuilding</t>
  </si>
  <si>
    <t xml:space="preserve">white label seo services for agencies</t>
  </si>
  <si>
    <t xml:space="preserve">outsource seo services in india</t>
  </si>
  <si>
    <t xml:space="preserve">outsource seo services to india</t>
  </si>
  <si>
    <t xml:space="preserve">Other industries</t>
  </si>
  <si>
    <t xml:space="preserve">fintech marketing agency</t>
  </si>
  <si>
    <t xml:space="preserve">b2b marketing companies in india</t>
  </si>
  <si>
    <t xml:space="preserve">seo for construction companies</t>
  </si>
  <si>
    <t xml:space="preserve">b2b content marketing agency</t>
  </si>
  <si>
    <t xml:space="preserve">dental services</t>
  </si>
  <si>
    <t xml:space="preserve">real estate digital marketing</t>
  </si>
  <si>
    <t xml:space="preserve">real estate digital marketing agency</t>
  </si>
  <si>
    <t xml:space="preserve">real estate marketing agency</t>
  </si>
  <si>
    <t xml:space="preserve">b2b advertising agency</t>
  </si>
  <si>
    <t xml:space="preserve">b2b marketing agency</t>
  </si>
  <si>
    <t xml:space="preserve">b2b marketing companies</t>
  </si>
  <si>
    <t xml:space="preserve">real estate seo services</t>
  </si>
  <si>
    <t xml:space="preserve">creative real estate</t>
  </si>
  <si>
    <t xml:space="preserve">healthcare seo services</t>
  </si>
  <si>
    <t xml:space="preserve">real estate seo</t>
  </si>
  <si>
    <t xml:space="preserve">real estate marketing companies</t>
  </si>
  <si>
    <t xml:space="preserve">dental seo services</t>
  </si>
  <si>
    <t xml:space="preserve">seo for doctors</t>
  </si>
  <si>
    <t xml:space="preserve">b2b digital marketing agency</t>
  </si>
  <si>
    <t xml:space="preserve">digital marketing agency for b2b</t>
  </si>
  <si>
    <t xml:space="preserve">real estate digital marketing services</t>
  </si>
  <si>
    <t xml:space="preserve">real estate marketing services</t>
  </si>
  <si>
    <t xml:space="preserve">real estate print marketing</t>
  </si>
  <si>
    <t xml:space="preserve">healthcare seo agency</t>
  </si>
  <si>
    <t xml:space="preserve">b2b seo agency</t>
  </si>
  <si>
    <t xml:space="preserve">seo agency for healthcare</t>
  </si>
  <si>
    <t xml:space="preserve">digital marketing services for real estate</t>
  </si>
  <si>
    <t xml:space="preserve">google ads for real estate</t>
  </si>
  <si>
    <t xml:space="preserve">real estate text</t>
  </si>
  <si>
    <t xml:space="preserve">seo startup companies</t>
  </si>
  <si>
    <t xml:space="preserve">search engine optimization startup</t>
  </si>
  <si>
    <t xml:space="preserve">real estate seo agency</t>
  </si>
  <si>
    <t xml:space="preserve">dental seo</t>
  </si>
  <si>
    <t xml:space="preserve">seo services for healthcare</t>
  </si>
  <si>
    <t xml:space="preserve">seo for startups</t>
  </si>
  <si>
    <t xml:space="preserve">saas product development services</t>
  </si>
  <si>
    <t xml:space="preserve">saas application development company</t>
  </si>
  <si>
    <t xml:space="preserve">fintech digital marketing agency</t>
  </si>
  <si>
    <t xml:space="preserve">digital marketing for manufacturers</t>
  </si>
  <si>
    <t xml:space="preserve">digital marketing for manufacturing industry</t>
  </si>
  <si>
    <t xml:space="preserve">saas application development</t>
  </si>
  <si>
    <t xml:space="preserve">hotel seo services</t>
  </si>
  <si>
    <t xml:space="preserve">seo company for lawyers</t>
  </si>
  <si>
    <t xml:space="preserve">seo services for lawyers</t>
  </si>
  <si>
    <t xml:space="preserve">digital marketing companies for real estate</t>
  </si>
  <si>
    <t xml:space="preserve">a large manufacturing company is looking to optimize</t>
  </si>
  <si>
    <t xml:space="preserve">real estate seo company</t>
  </si>
  <si>
    <t xml:space="preserve">healthcare ppc agency</t>
  </si>
  <si>
    <t xml:space="preserve">b2b seo services</t>
  </si>
  <si>
    <t xml:space="preserve">dental local seo</t>
  </si>
  <si>
    <t xml:space="preserve">dental seo company</t>
  </si>
  <si>
    <t xml:space="preserve">law firm seo services</t>
  </si>
  <si>
    <t xml:space="preserve">ppc marketing for lawyers</t>
  </si>
  <si>
    <t xml:space="preserve">digital marketing agency manufacturing</t>
  </si>
  <si>
    <t xml:space="preserve">manufacturing digital marketing agency</t>
  </si>
  <si>
    <t xml:space="preserve">real estate ad agency</t>
  </si>
  <si>
    <t xml:space="preserve">manufactura</t>
  </si>
  <si>
    <t xml:space="preserve">seo for manufacturing companies</t>
  </si>
  <si>
    <t xml:space="preserve">advertising agency for real estate</t>
  </si>
  <si>
    <t xml:space="preserve">b2b consultancy services</t>
  </si>
  <si>
    <t xml:space="preserve">b2b consulting services</t>
  </si>
  <si>
    <t xml:space="preserve">seo for b2b</t>
  </si>
  <si>
    <t xml:space="preserve">why is elite reputation management the best orm company</t>
  </si>
  <si>
    <t xml:space="preserve">EXCLUDED – jobs/training/brands/irrelevant</t>
  </si>
  <si>
    <t xml:space="preserve">soe punjab</t>
  </si>
  <si>
    <t xml:space="preserve">seo interview questions</t>
  </si>
  <si>
    <t xml:space="preserve">seo training in india</t>
  </si>
  <si>
    <t xml:space="preserve">seo work from home jobs</t>
  </si>
  <si>
    <t xml:space="preserve">shopify community</t>
  </si>
  <si>
    <t xml:space="preserve">marketing jobs in delhi</t>
  </si>
  <si>
    <t xml:space="preserve">seo jobs in delhi</t>
  </si>
  <si>
    <t xml:space="preserve">a company is considering several software as a service</t>
  </si>
  <si>
    <t xml:space="preserve">internet marketing service near me</t>
  </si>
  <si>
    <t xml:space="preserve">seo executive jobs</t>
  </si>
  <si>
    <t xml:space="preserve">seo freelance jobs</t>
  </si>
  <si>
    <t xml:space="preserve">seo interview question answer</t>
  </si>
  <si>
    <t xml:space="preserve">seo interview questions and answers</t>
  </si>
  <si>
    <t xml:space="preserve">shopify website examples</t>
  </si>
  <si>
    <t xml:space="preserve">what distinguishes a saas platform from regular software applications</t>
  </si>
  <si>
    <t xml:space="preserve">digital marketing course dubai</t>
  </si>
  <si>
    <t xml:space="preserve">seo jobs in dubai</t>
  </si>
  <si>
    <t xml:space="preserve">seo interview questions and answers 2022</t>
  </si>
  <si>
    <t xml:space="preserve">seo jobs in mumbai</t>
  </si>
  <si>
    <t xml:space="preserve">webnyxa technologies pvt ltd website development company</t>
  </si>
  <si>
    <t xml:space="preserve">javascript developer jobs</t>
  </si>
  <si>
    <t xml:space="preserve">seo executive jobs in noida</t>
  </si>
  <si>
    <t xml:space="preserve">seo friendly meaning</t>
  </si>
  <si>
    <t xml:space="preserve">backendless</t>
  </si>
  <si>
    <t xml:space="preserve">N</t>
  </si>
  <si>
    <t xml:space="preserve">seo course in kolkata</t>
  </si>
  <si>
    <t xml:space="preserve">designoweb technologies</t>
  </si>
  <si>
    <t xml:space="preserve">best international</t>
  </si>
  <si>
    <t xml:space="preserve">seo jobs in chandigarh</t>
  </si>
  <si>
    <t xml:space="preserve">digital marketing jobs singapore</t>
  </si>
  <si>
    <t xml:space="preserve">seo jobs in lucknow</t>
  </si>
  <si>
    <t xml:space="preserve">seo course in noida</t>
  </si>
  <si>
    <t xml:space="preserve">international seo agency</t>
  </si>
  <si>
    <t xml:space="preserve">seo courses near me</t>
  </si>
  <si>
    <t xml:space="preserve">seo jobs in indore</t>
  </si>
  <si>
    <t xml:space="preserve">seo training in ghaziabad</t>
  </si>
  <si>
    <t xml:space="preserve">shopify clothing stores</t>
  </si>
  <si>
    <t xml:space="preserve">allnyx technologies llp</t>
  </si>
  <si>
    <t xml:space="preserve">real estate marketing jobs</t>
  </si>
  <si>
    <t xml:space="preserve">seo course in pune</t>
  </si>
  <si>
    <t xml:space="preserve">search engine optimization jobs</t>
  </si>
  <si>
    <t xml:space="preserve">seo course in coimbatore</t>
  </si>
  <si>
    <t xml:space="preserve">seo course in dehradun</t>
  </si>
  <si>
    <t xml:space="preserve">seo jobs in dehradun</t>
  </si>
  <si>
    <t xml:space="preserve">seo questions and answers</t>
  </si>
  <si>
    <t xml:space="preserve">web developer jobs in jaipur</t>
  </si>
  <si>
    <t xml:space="preserve">webdunia indore</t>
  </si>
  <si>
    <t xml:space="preserve">digital marketing jobs in australia</t>
  </si>
  <si>
    <t xml:space="preserve">ppc courses in bangalore</t>
  </si>
  <si>
    <t xml:space="preserve">international seo services</t>
  </si>
  <si>
    <t xml:space="preserve">seo jobs in india</t>
  </si>
  <si>
    <t xml:space="preserve">write for us web development</t>
  </si>
  <si>
    <t xml:space="preserve">3 free email marketing services lookinglion</t>
  </si>
  <si>
    <t xml:space="preserve">laravel developer salary</t>
  </si>
  <si>
    <t xml:space="preserve">seo executive jobs in jaipur</t>
  </si>
  <si>
    <t xml:space="preserve">faq template shopify</t>
  </si>
  <si>
    <t xml:space="preserve">shopify faq template</t>
  </si>
  <si>
    <t xml:space="preserve">shopify supply</t>
  </si>
  <si>
    <t xml:space="preserve">web designer job in noida</t>
  </si>
  <si>
    <t xml:space="preserve">web designer vacancy in mumbai</t>
  </si>
  <si>
    <t xml:space="preserve">web designing course in pune</t>
  </si>
  <si>
    <t xml:space="preserve">web development company in pune for freshers</t>
  </si>
  <si>
    <t xml:space="preserve">web designer job in jaipur</t>
  </si>
  <si>
    <t xml:space="preserve">thinknyx technologies</t>
  </si>
  <si>
    <t xml:space="preserve">marketing agency meaning</t>
  </si>
  <si>
    <t xml:space="preserve">what is an seo agency</t>
  </si>
  <si>
    <t xml:space="preserve">seo executive job in kolkata</t>
  </si>
  <si>
    <t xml:space="preserve">seo jobs in panchkula</t>
  </si>
  <si>
    <t xml:space="preserve">seo questions</t>
  </si>
  <si>
    <t xml:space="preserve">digital marketing agency in hyderabad</t>
  </si>
  <si>
    <t xml:space="preserve">EXCLUDED – other Indian city</t>
  </si>
  <si>
    <t xml:space="preserve">seo company in mumbai</t>
  </si>
  <si>
    <t xml:space="preserve">seo company in delhi</t>
  </si>
  <si>
    <t xml:space="preserve">ecommerce development company in bangalore</t>
  </si>
  <si>
    <t xml:space="preserve">web development company in noida</t>
  </si>
  <si>
    <t xml:space="preserve">marketing agencies in mumbai</t>
  </si>
  <si>
    <t xml:space="preserve">professional seo services in mumbai</t>
  </si>
  <si>
    <t xml:space="preserve">web design company in mumbai</t>
  </si>
  <si>
    <t xml:space="preserve">website design company in mumbai</t>
  </si>
  <si>
    <t xml:space="preserve">seo company in kolkata</t>
  </si>
  <si>
    <t xml:space="preserve">ecommerce development pune</t>
  </si>
  <si>
    <t xml:space="preserve">seo company in faridabad</t>
  </si>
  <si>
    <t xml:space="preserve">web development company in mumbai</t>
  </si>
  <si>
    <t xml:space="preserve">web development company in delhi</t>
  </si>
  <si>
    <t xml:space="preserve">website development company in mumbai</t>
  </si>
  <si>
    <t xml:space="preserve">marketing agencies in delhi</t>
  </si>
  <si>
    <t xml:space="preserve">seo company in gurgaon</t>
  </si>
  <si>
    <t xml:space="preserve">web designing company in indore</t>
  </si>
  <si>
    <t xml:space="preserve">website development company in indore</t>
  </si>
  <si>
    <t xml:space="preserve">seo agency in kolkata</t>
  </si>
  <si>
    <t xml:space="preserve">seo services in mumbai</t>
  </si>
  <si>
    <t xml:space="preserve">seo agency in bangalore</t>
  </si>
  <si>
    <t xml:space="preserve">seo services in hyderabad</t>
  </si>
  <si>
    <t xml:space="preserve">seo agency in noida</t>
  </si>
  <si>
    <t xml:space="preserve">ecommerce seo services in mumbai</t>
  </si>
  <si>
    <t xml:space="preserve">local seo services in hyderabad</t>
  </si>
  <si>
    <t xml:space="preserve">social media marketing agency in mumbai</t>
  </si>
  <si>
    <t xml:space="preserve">social media marketing agency in delhi</t>
  </si>
  <si>
    <t xml:space="preserve">social media marketing companies in bangalore</t>
  </si>
  <si>
    <t xml:space="preserve">social media marketing mumbai</t>
  </si>
  <si>
    <t xml:space="preserve">social media companies in mumbai</t>
  </si>
  <si>
    <t xml:space="preserve">seo service company in kolkata</t>
  </si>
  <si>
    <t xml:space="preserve">social media agency in mumbai</t>
  </si>
  <si>
    <t xml:space="preserve">seo company in mohali</t>
  </si>
  <si>
    <t xml:space="preserve">seo consultant kolkata</t>
  </si>
  <si>
    <t xml:space="preserve">website developer in delhi</t>
  </si>
  <si>
    <t xml:space="preserve">digital marketing consultant in pune</t>
  </si>
  <si>
    <t xml:space="preserve">creative agency in mumbai</t>
  </si>
  <si>
    <t xml:space="preserve">seo company in lucknow</t>
  </si>
  <si>
    <t xml:space="preserve">seo company in hyderabad</t>
  </si>
  <si>
    <t xml:space="preserve">seo services in jaipur</t>
  </si>
  <si>
    <t xml:space="preserve">seo services in kolkata</t>
  </si>
  <si>
    <t xml:space="preserve">social media agency in delhi</t>
  </si>
  <si>
    <t xml:space="preserve">best seo company in noida</t>
  </si>
  <si>
    <t xml:space="preserve">seo freelancer in delhi</t>
  </si>
  <si>
    <t xml:space="preserve">website development company in jaipur</t>
  </si>
  <si>
    <t xml:space="preserve">website designer in jaipur</t>
  </si>
  <si>
    <t xml:space="preserve">seo agency in hyderabad</t>
  </si>
  <si>
    <t xml:space="preserve">creative ad agency in mumbai</t>
  </si>
  <si>
    <t xml:space="preserve">seo services company in kolkata</t>
  </si>
  <si>
    <t xml:space="preserve">best advertising agencies in mumbai</t>
  </si>
  <si>
    <t xml:space="preserve">best seo company in kolkata</t>
  </si>
  <si>
    <t xml:space="preserve">best seo company in lucknow</t>
  </si>
  <si>
    <t xml:space="preserve">best seo agency in bangalore</t>
  </si>
  <si>
    <t xml:space="preserve">top advertising agencies in mumbai</t>
  </si>
  <si>
    <t xml:space="preserve">web designer in jaipur</t>
  </si>
  <si>
    <t xml:space="preserve">seo services in gurgaon</t>
  </si>
  <si>
    <t xml:space="preserve">seo services in noida</t>
  </si>
  <si>
    <t xml:space="preserve">best seo company in chandigarh</t>
  </si>
  <si>
    <t xml:space="preserve">local seo consultant mumbai</t>
  </si>
  <si>
    <t xml:space="preserve">best seo company in mohali</t>
  </si>
  <si>
    <t xml:space="preserve">best seo services in hyderabad</t>
  </si>
  <si>
    <t xml:space="preserve">website development company in dehradun</t>
  </si>
  <si>
    <t xml:space="preserve">web designers in bangalore</t>
  </si>
  <si>
    <t xml:space="preserve">web development company in dehradun</t>
  </si>
  <si>
    <t xml:space="preserve">web designing company in dehradun</t>
  </si>
  <si>
    <t xml:space="preserve">top digital marketing companies in hyderabad</t>
  </si>
  <si>
    <t xml:space="preserve">social media marketing agency in hyderabad</t>
  </si>
  <si>
    <t xml:space="preserve">social media marketing companies in hyderabad</t>
  </si>
  <si>
    <t xml:space="preserve">creative ad agency in bangalore</t>
  </si>
  <si>
    <t xml:space="preserve">best ppc company in bangalore</t>
  </si>
  <si>
    <t xml:space="preserve">best seo company in bangalore</t>
  </si>
  <si>
    <t xml:space="preserve">branding agency in delhi</t>
  </si>
  <si>
    <t xml:space="preserve">seo agency in gurgaon</t>
  </si>
  <si>
    <t xml:space="preserve">seo expert in jaipur</t>
  </si>
  <si>
    <t xml:space="preserve">seo services in chandigarh</t>
  </si>
  <si>
    <t xml:space="preserve">seo expert in bangalore</t>
  </si>
  <si>
    <t xml:space="preserve">seo expert in mumbai</t>
  </si>
  <si>
    <t xml:space="preserve">seo consultant in kolkata</t>
  </si>
  <si>
    <t xml:space="preserve">website developer in jaipur</t>
  </si>
  <si>
    <t xml:space="preserve">web developer in pune</t>
  </si>
  <si>
    <t xml:space="preserve">website designing company in ghaziabad</t>
  </si>
  <si>
    <t xml:space="preserve">website developer in pune</t>
  </si>
  <si>
    <t xml:space="preserve">web design agency in mumbai</t>
  </si>
  <si>
    <t xml:space="preserve">top digital marketing agency in delhi</t>
  </si>
  <si>
    <t xml:space="preserve">social media marketing services in hyderabad</t>
  </si>
  <si>
    <t xml:space="preserve">social media agency services in mumbai</t>
  </si>
  <si>
    <t xml:space="preserve">advertising company in delhi</t>
  </si>
  <si>
    <t xml:space="preserve">creative agency in delhi</t>
  </si>
  <si>
    <t xml:space="preserve">social media marketing services mumbai</t>
  </si>
  <si>
    <t xml:space="preserve">top seo companies in kolkata</t>
  </si>
  <si>
    <t xml:space="preserve">best local seo company mumbai</t>
  </si>
  <si>
    <t xml:space="preserve">branding agency in hyderabad</t>
  </si>
  <si>
    <t xml:space="preserve">google adwords company in bangalore</t>
  </si>
  <si>
    <t xml:space="preserve">seo consultant in pune</t>
  </si>
  <si>
    <t xml:space="preserve">app developers in bangalore</t>
  </si>
  <si>
    <t xml:space="preserve">best seo company in gurgaon</t>
  </si>
  <si>
    <t xml:space="preserve">seo services in faridabad</t>
  </si>
  <si>
    <t xml:space="preserve">local seo services in delhi</t>
  </si>
  <si>
    <t xml:space="preserve">seo expert in hyderabad</t>
  </si>
  <si>
    <t xml:space="preserve">seo company in ghaziabad</t>
  </si>
  <si>
    <t xml:space="preserve">seo expert in kolkata</t>
  </si>
  <si>
    <t xml:space="preserve">seo freelancer in bangalore</t>
  </si>
  <si>
    <t xml:space="preserve">best website development company in mumbai</t>
  </si>
  <si>
    <t xml:space="preserve">web development company in jaipur</t>
  </si>
  <si>
    <t xml:space="preserve">best web development company in mumbai</t>
  </si>
  <si>
    <t xml:space="preserve">web development in mumbai</t>
  </si>
  <si>
    <t xml:space="preserve">website development in delhi</t>
  </si>
  <si>
    <t xml:space="preserve">web designer in noida</t>
  </si>
  <si>
    <t xml:space="preserve">web designer in pune</t>
  </si>
  <si>
    <t xml:space="preserve">best web design company in mumbai</t>
  </si>
  <si>
    <t xml:space="preserve">ecommerce website development company in pune</t>
  </si>
  <si>
    <t xml:space="preserve">logo design company in bangalore</t>
  </si>
  <si>
    <t xml:space="preserve">digital marketing company in delhi ncr</t>
  </si>
  <si>
    <t xml:space="preserve">top digital marketing companies in mumbai</t>
  </si>
  <si>
    <t xml:space="preserve">top digital marketing companies in pune</t>
  </si>
  <si>
    <t xml:space="preserve">top marketing companies in bangalore</t>
  </si>
  <si>
    <t xml:space="preserve">bangalore intermarketing</t>
  </si>
  <si>
    <t xml:space="preserve">ppc agency in delhi</t>
  </si>
  <si>
    <t xml:space="preserve">digital marketing agency in south delhi</t>
  </si>
  <si>
    <t xml:space="preserve">search engine marketing company in bangalore</t>
  </si>
  <si>
    <t xml:space="preserve">seo mumbai</t>
  </si>
  <si>
    <t xml:space="preserve">seo services in lucknow</t>
  </si>
  <si>
    <t xml:space="preserve">seo expert in pune</t>
  </si>
  <si>
    <t xml:space="preserve">e commerce companies in bangalore</t>
  </si>
  <si>
    <t xml:space="preserve">seo expert in noida</t>
  </si>
  <si>
    <t xml:space="preserve">best seo expert in delhi</t>
  </si>
  <si>
    <t xml:space="preserve">best seo agency in noida</t>
  </si>
  <si>
    <t xml:space="preserve">seo services in ghaziabad</t>
  </si>
  <si>
    <t xml:space="preserve">seo services ghaziabad</t>
  </si>
  <si>
    <t xml:space="preserve">seo company in bhopal</t>
  </si>
  <si>
    <t xml:space="preserve">web development in bangalore</t>
  </si>
  <si>
    <t xml:space="preserve">top web development company in pune</t>
  </si>
  <si>
    <t xml:space="preserve">web design company in jaipur</t>
  </si>
  <si>
    <t xml:space="preserve">web developer in bangalore</t>
  </si>
  <si>
    <t xml:space="preserve">performance marketing agencies in mumbai</t>
  </si>
  <si>
    <t xml:space="preserve">best marketing agencies in delhi</t>
  </si>
  <si>
    <t xml:space="preserve">newspaper ad agency in hyderabad</t>
  </si>
  <si>
    <t xml:space="preserve">best seo company hyderabad</t>
  </si>
  <si>
    <t xml:space="preserve">best marketing agencies in hyderabad</t>
  </si>
  <si>
    <t xml:space="preserve">best seo services company in mumbai</t>
  </si>
  <si>
    <t xml:space="preserve">email marketing in kolkata</t>
  </si>
  <si>
    <t xml:space="preserve">best seo agency in kolkata</t>
  </si>
  <si>
    <t xml:space="preserve">best seo company in hyderabad</t>
  </si>
  <si>
    <t xml:space="preserve">affordable seo company delhi</t>
  </si>
  <si>
    <t xml:space="preserve">ecommerce development company in pune</t>
  </si>
  <si>
    <t xml:space="preserve">affordable seo company in delhi</t>
  </si>
  <si>
    <t xml:space="preserve">seo services in ludhiana</t>
  </si>
  <si>
    <t xml:space="preserve">seo services ludhiana</t>
  </si>
  <si>
    <t xml:space="preserve">seo services in dehradun</t>
  </si>
  <si>
    <t xml:space="preserve">seo services in vadodara</t>
  </si>
  <si>
    <t xml:space="preserve">best website development company in jaipur</t>
  </si>
  <si>
    <t xml:space="preserve">website designing company in indore</t>
  </si>
  <si>
    <t xml:space="preserve">web development services in jaipur</t>
  </si>
  <si>
    <t xml:space="preserve">website designing company in dehradun</t>
  </si>
  <si>
    <t xml:space="preserve">website development in jaipur</t>
  </si>
  <si>
    <t xml:space="preserve">web development services in noida</t>
  </si>
  <si>
    <t xml:space="preserve">ecommerce website development company in mumbai</t>
  </si>
  <si>
    <t xml:space="preserve">web development company in ghaziabad</t>
  </si>
  <si>
    <t xml:space="preserve">website development company in ghaziabad</t>
  </si>
  <si>
    <t xml:space="preserve">seo company in nagpur</t>
  </si>
  <si>
    <t xml:space="preserve">web designer in indore</t>
  </si>
  <si>
    <t xml:space="preserve">web designing services in delhi</t>
  </si>
  <si>
    <t xml:space="preserve">website design services in mumbai</t>
  </si>
  <si>
    <t xml:space="preserve">website design delhi</t>
  </si>
  <si>
    <t xml:space="preserve">best digital marketing agency hyderabad</t>
  </si>
  <si>
    <t xml:space="preserve">newspaper ad agency in mumbai</t>
  </si>
  <si>
    <t xml:space="preserve">top 10 advertising agencies in mumbai</t>
  </si>
  <si>
    <t xml:space="preserve">digital marketing consultant in bangalore</t>
  </si>
  <si>
    <t xml:space="preserve">digital marketing expert in delhi</t>
  </si>
  <si>
    <t xml:space="preserve">performance marketing agencies in bangalore</t>
  </si>
  <si>
    <t xml:space="preserve">best seo services in mumbai</t>
  </si>
  <si>
    <t xml:space="preserve">ppc company in delhi</t>
  </si>
  <si>
    <t xml:space="preserve">social media marketing company in delhi</t>
  </si>
  <si>
    <t xml:space="preserve">ppc services in mumbai</t>
  </si>
  <si>
    <t xml:space="preserve">professional seo company in bangalore</t>
  </si>
  <si>
    <t xml:space="preserve">best seo services in jaipur</t>
  </si>
  <si>
    <t xml:space="preserve">performance marketing agency mumbai</t>
  </si>
  <si>
    <t xml:space="preserve">ppc service in mumbai</t>
  </si>
  <si>
    <t xml:space="preserve">seo services in mohali</t>
  </si>
  <si>
    <t xml:space="preserve">best seo service in jaipur</t>
  </si>
  <si>
    <t xml:space="preserve">seo service in mohali</t>
  </si>
  <si>
    <t xml:space="preserve">seo services in indore</t>
  </si>
  <si>
    <t xml:space="preserve">local seo services noida</t>
  </si>
  <si>
    <t xml:space="preserve">seo expert in chandigarh</t>
  </si>
  <si>
    <t xml:space="preserve">ecommerce web development company in bangalore</t>
  </si>
  <si>
    <t xml:space="preserve">website development agency in noida</t>
  </si>
  <si>
    <t xml:space="preserve">best ecommerce development company in bangalore</t>
  </si>
  <si>
    <t xml:space="preserve">ecommerce website development company in bangalore</t>
  </si>
  <si>
    <t xml:space="preserve">website development in ghaziabad</t>
  </si>
  <si>
    <t xml:space="preserve">web designing company in ghaziabad</t>
  </si>
  <si>
    <t xml:space="preserve">best seo agency in jaipur</t>
  </si>
  <si>
    <t xml:space="preserve">seo company in delhi ncr</t>
  </si>
  <si>
    <t xml:space="preserve">website design ghaziabad</t>
  </si>
  <si>
    <t xml:space="preserve">ecommerce website development in pune</t>
  </si>
  <si>
    <t xml:space="preserve">seo company in nashik</t>
  </si>
  <si>
    <t xml:space="preserve">email marketing services in pune</t>
  </si>
  <si>
    <t xml:space="preserve">top 10 digital marketing companies in delhi ncr</t>
  </si>
  <si>
    <t xml:space="preserve">content marketing agency in delhi</t>
  </si>
  <si>
    <t xml:space="preserve">digital marketing consultant in delhi</t>
  </si>
  <si>
    <t xml:space="preserve">marketing in hyderabad</t>
  </si>
  <si>
    <t xml:space="preserve">ppc company in mumbai</t>
  </si>
  <si>
    <t xml:space="preserve">best social media marketing company in hyderabad</t>
  </si>
  <si>
    <t xml:space="preserve">top 10 digital marketing companies in delhi</t>
  </si>
  <si>
    <t xml:space="preserve">marketing hyderabad</t>
  </si>
  <si>
    <t xml:space="preserve">ppc company mumbai</t>
  </si>
  <si>
    <t xml:space="preserve">top 10 digital marketing agency in delhi</t>
  </si>
  <si>
    <t xml:space="preserve">best seo services mumbai</t>
  </si>
  <si>
    <t xml:space="preserve">email marketing services in bangalore</t>
  </si>
  <si>
    <t xml:space="preserve">performance marketing agency bangalore</t>
  </si>
  <si>
    <t xml:space="preserve">social media marketing in hyderabad</t>
  </si>
  <si>
    <t xml:space="preserve">best seo service in kolkata</t>
  </si>
  <si>
    <t xml:space="preserve">email marketing agency in hyderabad</t>
  </si>
  <si>
    <t xml:space="preserve">hyderabad marketing</t>
  </si>
  <si>
    <t xml:space="preserve">seo consultant in mumbai</t>
  </si>
  <si>
    <t xml:space="preserve">email marketing services in hyderabad</t>
  </si>
  <si>
    <t xml:space="preserve">ppc company bangalore</t>
  </si>
  <si>
    <t xml:space="preserve">top 10 seo company in kolkata</t>
  </si>
  <si>
    <t xml:space="preserve">local seo company in pune</t>
  </si>
  <si>
    <t xml:space="preserve">ppc company in bangalore</t>
  </si>
  <si>
    <t xml:space="preserve">website developer in dehradun</t>
  </si>
  <si>
    <t xml:space="preserve">affordable seo services delhi</t>
  </si>
  <si>
    <t xml:space="preserve">seo services noida</t>
  </si>
  <si>
    <t xml:space="preserve">seo company in greater noida</t>
  </si>
  <si>
    <t xml:space="preserve">seo agency in chandigarh</t>
  </si>
  <si>
    <t xml:space="preserve">seo agency in mohali</t>
  </si>
  <si>
    <t xml:space="preserve">best seo agencies in gurgaon</t>
  </si>
  <si>
    <t xml:space="preserve">best seo agency in gurgaon</t>
  </si>
  <si>
    <t xml:space="preserve">seo expert gurgaon</t>
  </si>
  <si>
    <t xml:space="preserve">seo expert in gurgaon</t>
  </si>
  <si>
    <t xml:space="preserve">seo expert in indore</t>
  </si>
  <si>
    <t xml:space="preserve">seo expert indore</t>
  </si>
  <si>
    <t xml:space="preserve">seo pune</t>
  </si>
  <si>
    <t xml:space="preserve">seo services in bhopal</t>
  </si>
  <si>
    <t xml:space="preserve">best seo company in indore</t>
  </si>
  <si>
    <t xml:space="preserve">best seo company in faridabad</t>
  </si>
  <si>
    <t xml:space="preserve">seo expert in ghaziabad</t>
  </si>
  <si>
    <t xml:space="preserve">seo in dehradun</t>
  </si>
  <si>
    <t xml:space="preserve">affordable seo services in delhi</t>
  </si>
  <si>
    <t xml:space="preserve">best website development company in dehradun</t>
  </si>
  <si>
    <t xml:space="preserve">website redesign services mumbai</t>
  </si>
  <si>
    <t xml:space="preserve">website development in mumbai</t>
  </si>
  <si>
    <t xml:space="preserve">best web development company in jaipur</t>
  </si>
  <si>
    <t xml:space="preserve">website designing services in delhi</t>
  </si>
  <si>
    <t xml:space="preserve">best website designers in mumbai</t>
  </si>
  <si>
    <t xml:space="preserve">web development in noida</t>
  </si>
  <si>
    <t xml:space="preserve">website designing company in delhi with price</t>
  </si>
  <si>
    <t xml:space="preserve">digital marketing agency in west delhi</t>
  </si>
  <si>
    <t xml:space="preserve">content marketing agencies in mumbai</t>
  </si>
  <si>
    <t xml:space="preserve">social media marketing services bangalore</t>
  </si>
  <si>
    <t xml:space="preserve">content marketing agency mumbai</t>
  </si>
  <si>
    <t xml:space="preserve">creative advertising agency in hyderabad</t>
  </si>
  <si>
    <t xml:space="preserve">paras marketing barkatpura hyderabad</t>
  </si>
  <si>
    <t xml:space="preserve">seo services company in delhi</t>
  </si>
  <si>
    <t xml:space="preserve">top 10 digital marketing companies in bangalore</t>
  </si>
  <si>
    <t xml:space="preserve">social media marketing service in bangalore</t>
  </si>
  <si>
    <t xml:space="preserve">best seo company in delhi ncr</t>
  </si>
  <si>
    <t xml:space="preserve">ppc agency in mumbai</t>
  </si>
  <si>
    <t xml:space="preserve">ppc agency mumbai</t>
  </si>
  <si>
    <t xml:space="preserve">seo agency in lucknow</t>
  </si>
  <si>
    <t xml:space="preserve">real estate digital marketing agency in mumbai</t>
  </si>
  <si>
    <t xml:space="preserve">social media marketing in delhi</t>
  </si>
  <si>
    <t xml:space="preserve">social media marketing services delhi</t>
  </si>
  <si>
    <t xml:space="preserve">social media marketing services in delhi</t>
  </si>
  <si>
    <t xml:space="preserve">best seo services in chandigarh</t>
  </si>
  <si>
    <t xml:space="preserve">seo packages in delhi</t>
  </si>
  <si>
    <t xml:space="preserve">seo expert in mohali</t>
  </si>
  <si>
    <t xml:space="preserve">local seo services delhi</t>
  </si>
  <si>
    <t xml:space="preserve">seo services indore</t>
  </si>
  <si>
    <t xml:space="preserve">best seo service in chandigarh</t>
  </si>
  <si>
    <t xml:space="preserve">seo agency in faridabad</t>
  </si>
  <si>
    <t xml:space="preserve">seo noida</t>
  </si>
  <si>
    <t xml:space="preserve">local seo services in mumbai</t>
  </si>
  <si>
    <t xml:space="preserve">seo freelancer delhi</t>
  </si>
  <si>
    <t xml:space="preserve">shopify development company in delhi</t>
  </si>
  <si>
    <t xml:space="preserve">hosting company in noida</t>
  </si>
  <si>
    <t xml:space="preserve">web hosting company in noida</t>
  </si>
  <si>
    <t xml:space="preserve">web hosting company noida</t>
  </si>
  <si>
    <t xml:space="preserve">web hosting in noida</t>
  </si>
  <si>
    <t xml:space="preserve">web hosting noida</t>
  </si>
  <si>
    <t xml:space="preserve">web hosting services in noida</t>
  </si>
  <si>
    <t xml:space="preserve">website development company in greater noida</t>
  </si>
  <si>
    <t xml:space="preserve">web designing company in delhi ncr</t>
  </si>
  <si>
    <t xml:space="preserve">ecommerce website development company noida</t>
  </si>
  <si>
    <t xml:space="preserve">web development dehradun</t>
  </si>
  <si>
    <t xml:space="preserve">website designer in dehradun</t>
  </si>
  <si>
    <t xml:space="preserve">website designing in delhi ncr</t>
  </si>
  <si>
    <t xml:space="preserve">web design delhi india</t>
  </si>
  <si>
    <t xml:space="preserve">cheap website designers in bangalore</t>
  </si>
  <si>
    <t xml:space="preserve">healthcare digital marketing agency in hyderabad</t>
  </si>
  <si>
    <t xml:space="preserve">seo services company mumbai</t>
  </si>
  <si>
    <t xml:space="preserve">affordable seo services in mumbai</t>
  </si>
  <si>
    <t xml:space="preserve">email marketing companies in bangalore</t>
  </si>
  <si>
    <t xml:space="preserve">top seo company gurgaon</t>
  </si>
  <si>
    <t xml:space="preserve">top seo company in gurgaon</t>
  </si>
  <si>
    <t xml:space="preserve">best ppc company delhi</t>
  </si>
  <si>
    <t xml:space="preserve">best seo agency in delhi ncr</t>
  </si>
  <si>
    <t xml:space="preserve">local seo company in kolkata</t>
  </si>
  <si>
    <t xml:space="preserve">social media marketing in bangalore</t>
  </si>
  <si>
    <t xml:space="preserve">local seo services in kolkata</t>
  </si>
  <si>
    <t xml:space="preserve">online reputation management company in delhi</t>
  </si>
  <si>
    <t xml:space="preserve">seo service provider in kolkata</t>
  </si>
  <si>
    <t xml:space="preserve">social media agency in hyderabad</t>
  </si>
  <si>
    <t xml:space="preserve">social media marketing services in mumbai</t>
  </si>
  <si>
    <t xml:space="preserve">best ppc company in delhi ncr</t>
  </si>
  <si>
    <t xml:space="preserve">best social media agencies in delhi</t>
  </si>
  <si>
    <t xml:space="preserve">online reputation management company delhi</t>
  </si>
  <si>
    <t xml:space="preserve">web designer in dehradun</t>
  </si>
  <si>
    <t xml:space="preserve">seo expert noida</t>
  </si>
  <si>
    <t xml:space="preserve">seo agency in indore</t>
  </si>
  <si>
    <t xml:space="preserve">seo classes in indore</t>
  </si>
  <si>
    <t xml:space="preserve">seo in chandigarh</t>
  </si>
  <si>
    <t xml:space="preserve">seo marketing bangalore</t>
  </si>
  <si>
    <t xml:space="preserve">seo services in punjab</t>
  </si>
  <si>
    <t xml:space="preserve">freelance seo services in delhi</t>
  </si>
  <si>
    <t xml:space="preserve">seo services dehradun</t>
  </si>
  <si>
    <t xml:space="preserve">aurangabad multi services</t>
  </si>
  <si>
    <t xml:space="preserve">best web development company in noida</t>
  </si>
  <si>
    <t xml:space="preserve">web developer company in noida</t>
  </si>
  <si>
    <t xml:space="preserve">web development agency in mumbai</t>
  </si>
  <si>
    <t xml:space="preserve">website development agency delhi</t>
  </si>
  <si>
    <t xml:space="preserve">website development agency in mumbai</t>
  </si>
  <si>
    <t xml:space="preserve">website development services in jaipur</t>
  </si>
  <si>
    <t xml:space="preserve">best website development company in indore</t>
  </si>
  <si>
    <t xml:space="preserve">e commerce bangalore</t>
  </si>
  <si>
    <t xml:space="preserve">shopify bangalore</t>
  </si>
  <si>
    <t xml:space="preserve">I, N</t>
  </si>
  <si>
    <t xml:space="preserve">website designing services noida</t>
  </si>
  <si>
    <t xml:space="preserve">website development in noida</t>
  </si>
  <si>
    <t xml:space="preserve">best web designing company in noida</t>
  </si>
  <si>
    <t xml:space="preserve">web designing services in noida</t>
  </si>
  <si>
    <t xml:space="preserve">best digital marketing in hyderabad</t>
  </si>
  <si>
    <t xml:space="preserve">digital agency in delhi ncr</t>
  </si>
  <si>
    <t xml:space="preserve">marketing mumbai</t>
  </si>
  <si>
    <t xml:space="preserve">campaign management agency in hyderabad</t>
  </si>
  <si>
    <t xml:space="preserve">agency mumbai</t>
  </si>
  <si>
    <t xml:space="preserve">seo marketing hyderabad</t>
  </si>
  <si>
    <t xml:space="preserve">ppc agency bangalore</t>
  </si>
  <si>
    <t xml:space="preserve">ppc agency in bangalore</t>
  </si>
  <si>
    <t xml:space="preserve">seo agency kolkata</t>
  </si>
  <si>
    <t xml:space="preserve">seo company in gurugram</t>
  </si>
  <si>
    <t xml:space="preserve">affordable seo services in kolkata</t>
  </si>
  <si>
    <t xml:space="preserve">best seo agency in lucknow</t>
  </si>
  <si>
    <t xml:space="preserve">best social media agencies in mumbai</t>
  </si>
  <si>
    <t xml:space="preserve">search engine optimization in hyderabad</t>
  </si>
  <si>
    <t xml:space="preserve">advertising companies in pune</t>
  </si>
  <si>
    <t xml:space="preserve">seo company gurugram</t>
  </si>
  <si>
    <t xml:space="preserve">top seo company in jaipur</t>
  </si>
  <si>
    <t xml:space="preserve">best seo in noida</t>
  </si>
  <si>
    <t xml:space="preserve">best seo company in ludhiana</t>
  </si>
  <si>
    <t xml:space="preserve">seo expert in dehradun</t>
  </si>
  <si>
    <t xml:space="preserve">seo ludhiana</t>
  </si>
  <si>
    <t xml:space="preserve">local seo company in delhi</t>
  </si>
  <si>
    <t xml:space="preserve">seo hyderabad</t>
  </si>
  <si>
    <t xml:space="preserve">hyderabad seo</t>
  </si>
  <si>
    <t xml:space="preserve">freelance seo expert in bangalore</t>
  </si>
  <si>
    <t xml:space="preserve">seo freelancer in mumbai</t>
  </si>
  <si>
    <t xml:space="preserve">seo freelancers in mumbai</t>
  </si>
  <si>
    <t xml:space="preserve">shopify expert mumbai</t>
  </si>
  <si>
    <t xml:space="preserve">shopify experts in bangalore</t>
  </si>
  <si>
    <t xml:space="preserve">shopify experts in delhi</t>
  </si>
  <si>
    <t xml:space="preserve">shopify experts in mumbai</t>
  </si>
  <si>
    <t xml:space="preserve">shopify experts bangalore</t>
  </si>
  <si>
    <t xml:space="preserve">Where the 1,147 keywords fall</t>
  </si>
  <si>
    <t xml:space="preserve">Keywords</t>
  </si>
  <si>
    <t xml:space="preserve">Total volume</t>
  </si>
  <si>
    <t xml:space="preserve">Avg KD %</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</si>
</sst>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b val="true"/>
      <sz val="11"/>
      <color rgb="FFFFFFFF"/>
      <name val="Arial"/>
      <family val="0"/>
      <charset val="1"/>
    </font>
    <font>
      <sz val="11"/>
      <name val="Arial"/>
      <family val="0"/>
      <charset val="1"/>
    </font>
    <font>
      <b val="true"/>
      <sz val="11"/>
      <name val="Arial"/>
      <family val="0"/>
      <charset val="1"/>
    </font>
    <font>
      <b val="true"/>
      <sz val="13"/>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6"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general" vertical="top" textRotation="0" wrapText="false" indent="0" shrinkToFit="false"/>
      <protection locked="true" hidden="false"/>
    </xf>
    <xf numFmtId="166" fontId="7" fillId="5"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38"/>
    <col collapsed="false" customWidth="true" hidden="false" outlineLevel="0" max="5" min="4" style="0" width="40"/>
    <col collapsed="false" customWidth="true" hidden="false" outlineLevel="0" max="6" min="6" style="0" width="10"/>
    <col collapsed="false" customWidth="true" hidden="false" outlineLevel="0" max="7" min="7" style="0" width="9"/>
    <col collapsed="false" customWidth="true" hidden="false" outlineLevel="0" max="8" min="8" style="0" width="70"/>
    <col collapsed="false" customWidth="true" hidden="false" outlineLevel="0" max="9" min="9" style="0" width="9"/>
    <col collapsed="false" customWidth="true" hidden="false" outlineLevel="0" max="10" min="10" style="0" width="11"/>
    <col collapsed="false" customWidth="true" hidden="false" outlineLevel="0" max="11" min="11" style="0" width="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1.5" hidden="false" customHeight="true" outlineLevel="0" collapsed="false">
      <c r="A5" s="3" t="s">
        <v>3</v>
      </c>
      <c r="B5" s="3" t="s">
        <v>4</v>
      </c>
      <c r="C5" s="3" t="s">
        <v>5</v>
      </c>
      <c r="D5" s="3" t="s">
        <v>6</v>
      </c>
      <c r="E5" s="3" t="s">
        <v>7</v>
      </c>
      <c r="F5" s="3" t="s">
        <v>8</v>
      </c>
      <c r="G5" s="3" t="s">
        <v>9</v>
      </c>
      <c r="H5" s="3" t="s">
        <v>10</v>
      </c>
      <c r="I5" s="3" t="s">
        <v>11</v>
      </c>
      <c r="J5" s="3" t="s">
        <v>12</v>
      </c>
      <c r="K5" s="3" t="s">
        <v>13</v>
      </c>
    </row>
    <row r="6" customFormat="false" ht="39.55" hidden="false" customHeight="false" outlineLevel="0" collapsed="false">
      <c r="A6" s="4" t="n">
        <v>1</v>
      </c>
      <c r="B6" s="4" t="s">
        <v>14</v>
      </c>
      <c r="C6" s="4" t="s">
        <v>15</v>
      </c>
      <c r="D6" s="5" t="s">
        <v>16</v>
      </c>
      <c r="E6" s="4" t="s">
        <v>17</v>
      </c>
      <c r="F6" s="6" t="n">
        <f aca="false">SUMIFS('All Keywords'!$B$2:$B$1170,'All Keywords'!$A$2:$A$1170,E6)</f>
        <v>390</v>
      </c>
      <c r="G6" s="4" t="n">
        <f aca="false">SUMIFS('All Keywords'!$C$2:$C$1170,'All Keywords'!$A$2:$A$1170,E6)</f>
        <v>17</v>
      </c>
      <c r="H6" s="5" t="s">
        <v>18</v>
      </c>
      <c r="I6" s="4" t="n">
        <f aca="false">COUNTIFS('All Keywords'!$H$2:$H$1170,C6)</f>
        <v>7</v>
      </c>
      <c r="J6" s="6" t="n">
        <f aca="false">SUMIFS('All Keywords'!$B$2:$B$1170,'All Keywords'!$H$2:$H$1170,C6)</f>
        <v>1940</v>
      </c>
      <c r="K6" s="7" t="n">
        <f aca="false">SUMIFS('All Keywords'!$I$2:$I$1170,'All Keywords'!$H$2:$H$1170,C6)</f>
        <v>2036.5</v>
      </c>
    </row>
    <row r="7" customFormat="false" ht="15" hidden="false" customHeight="false" outlineLevel="0" collapsed="false">
      <c r="A7" s="4" t="n">
        <v>1</v>
      </c>
      <c r="B7" s="4" t="s">
        <v>14</v>
      </c>
      <c r="C7" s="4" t="s">
        <v>19</v>
      </c>
      <c r="D7" s="5" t="s">
        <v>20</v>
      </c>
      <c r="E7" s="4" t="s">
        <v>21</v>
      </c>
      <c r="F7" s="6" t="n">
        <f aca="false">SUMIFS('All Keywords'!$B$2:$B$1170,'All Keywords'!$A$2:$A$1170,E7)</f>
        <v>720</v>
      </c>
      <c r="G7" s="4" t="n">
        <f aca="false">SUMIFS('All Keywords'!$C$2:$C$1170,'All Keywords'!$A$2:$A$1170,E7)</f>
        <v>23</v>
      </c>
      <c r="H7" s="5"/>
      <c r="I7" s="4" t="n">
        <f aca="false">COUNTIFS('All Keywords'!$H$2:$H$1170,C7)</f>
        <v>1</v>
      </c>
      <c r="J7" s="6" t="n">
        <f aca="false">SUMIFS('All Keywords'!$B$2:$B$1170,'All Keywords'!$H$2:$H$1170,C7)</f>
        <v>720</v>
      </c>
      <c r="K7" s="7" t="n">
        <f aca="false">SUMIFS('All Keywords'!$I$2:$I$1170,'All Keywords'!$H$2:$H$1170,C7)</f>
        <v>439.2</v>
      </c>
    </row>
    <row r="8" customFormat="false" ht="15" hidden="false" customHeight="false" outlineLevel="0" collapsed="false">
      <c r="A8" s="4" t="n">
        <v>1</v>
      </c>
      <c r="B8" s="4" t="s">
        <v>14</v>
      </c>
      <c r="C8" s="4" t="s">
        <v>22</v>
      </c>
      <c r="D8" s="5" t="s">
        <v>23</v>
      </c>
      <c r="E8" s="4" t="s">
        <v>24</v>
      </c>
      <c r="F8" s="6" t="n">
        <f aca="false">SUMIFS('All Keywords'!$B$2:$B$1170,'All Keywords'!$A$2:$A$1170,E8)</f>
        <v>320</v>
      </c>
      <c r="G8" s="4" t="n">
        <f aca="false">SUMIFS('All Keywords'!$C$2:$C$1170,'All Keywords'!$A$2:$A$1170,E8)</f>
        <v>12</v>
      </c>
      <c r="H8" s="5" t="s">
        <v>25</v>
      </c>
      <c r="I8" s="4" t="n">
        <f aca="false">COUNTIFS('All Keywords'!$H$2:$H$1170,C8)</f>
        <v>2</v>
      </c>
      <c r="J8" s="6" t="n">
        <f aca="false">SUMIFS('All Keywords'!$B$2:$B$1170,'All Keywords'!$H$2:$H$1170,C8)</f>
        <v>320</v>
      </c>
      <c r="K8" s="7" t="n">
        <f aca="false">SUMIFS('All Keywords'!$I$2:$I$1170,'All Keywords'!$H$2:$H$1170,C8)</f>
        <v>192</v>
      </c>
    </row>
    <row r="9" customFormat="false" ht="15" hidden="false" customHeight="false" outlineLevel="0" collapsed="false">
      <c r="A9" s="4" t="n">
        <v>1</v>
      </c>
      <c r="B9" s="4" t="s">
        <v>26</v>
      </c>
      <c r="C9" s="4" t="s">
        <v>27</v>
      </c>
      <c r="D9" s="5" t="s">
        <v>28</v>
      </c>
      <c r="E9" s="4" t="s">
        <v>29</v>
      </c>
      <c r="F9" s="6" t="n">
        <f aca="false">SUMIFS('All Keywords'!$B$2:$B$1170,'All Keywords'!$A$2:$A$1170,E9)</f>
        <v>5400</v>
      </c>
      <c r="G9" s="4" t="n">
        <f aca="false">SUMIFS('All Keywords'!$C$2:$C$1170,'All Keywords'!$A$2:$A$1170,E9)</f>
        <v>17</v>
      </c>
      <c r="H9" s="5"/>
      <c r="I9" s="4" t="n">
        <f aca="false">COUNTIFS('All Keywords'!$H$2:$H$1170,C9)</f>
        <v>1</v>
      </c>
      <c r="J9" s="6" t="n">
        <f aca="false">SUMIFS('All Keywords'!$B$2:$B$1170,'All Keywords'!$H$2:$H$1170,C9)</f>
        <v>5400</v>
      </c>
      <c r="K9" s="7" t="n">
        <f aca="false">SUMIFS('All Keywords'!$I$2:$I$1170,'All Keywords'!$H$2:$H$1170,C9)</f>
        <v>2322</v>
      </c>
    </row>
    <row r="10" customFormat="false" ht="39.55" hidden="false" customHeight="false" outlineLevel="0" collapsed="false">
      <c r="A10" s="4" t="n">
        <v>1</v>
      </c>
      <c r="B10" s="4" t="s">
        <v>26</v>
      </c>
      <c r="C10" s="4" t="s">
        <v>30</v>
      </c>
      <c r="D10" s="5" t="s">
        <v>31</v>
      </c>
      <c r="E10" s="4" t="s">
        <v>32</v>
      </c>
      <c r="F10" s="6" t="n">
        <f aca="false">SUMIFS('All Keywords'!$B$2:$B$1170,'All Keywords'!$A$2:$A$1170,E10)</f>
        <v>2900</v>
      </c>
      <c r="G10" s="4" t="n">
        <f aca="false">SUMIFS('All Keywords'!$C$2:$C$1170,'All Keywords'!$A$2:$A$1170,E10)</f>
        <v>29</v>
      </c>
      <c r="H10" s="5" t="s">
        <v>33</v>
      </c>
      <c r="I10" s="4" t="n">
        <f aca="false">COUNTIFS('All Keywords'!$H$2:$H$1170,C10)</f>
        <v>8</v>
      </c>
      <c r="J10" s="6" t="n">
        <f aca="false">SUMIFS('All Keywords'!$B$2:$B$1170,'All Keywords'!$H$2:$H$1170,C10)</f>
        <v>4600</v>
      </c>
      <c r="K10" s="7" t="n">
        <f aca="false">SUMIFS('All Keywords'!$I$2:$I$1170,'All Keywords'!$H$2:$H$1170,C10)</f>
        <v>2582</v>
      </c>
    </row>
    <row r="11" customFormat="false" ht="52.2" hidden="false" customHeight="false" outlineLevel="0" collapsed="false">
      <c r="A11" s="4" t="n">
        <v>1</v>
      </c>
      <c r="B11" s="4" t="s">
        <v>26</v>
      </c>
      <c r="C11" s="4" t="s">
        <v>34</v>
      </c>
      <c r="D11" s="5" t="s">
        <v>35</v>
      </c>
      <c r="E11" s="4" t="s">
        <v>36</v>
      </c>
      <c r="F11" s="6" t="n">
        <f aca="false">SUMIFS('All Keywords'!$B$2:$B$1170,'All Keywords'!$A$2:$A$1170,E11)</f>
        <v>320</v>
      </c>
      <c r="G11" s="4" t="n">
        <f aca="false">SUMIFS('All Keywords'!$C$2:$C$1170,'All Keywords'!$A$2:$A$1170,E11)</f>
        <v>28</v>
      </c>
      <c r="H11" s="5" t="s">
        <v>37</v>
      </c>
      <c r="I11" s="4" t="n">
        <f aca="false">COUNTIFS('All Keywords'!$H$2:$H$1170,C11)</f>
        <v>7</v>
      </c>
      <c r="J11" s="6" t="n">
        <f aca="false">SUMIFS('All Keywords'!$B$2:$B$1170,'All Keywords'!$H$2:$H$1170,C11)</f>
        <v>980</v>
      </c>
      <c r="K11" s="7" t="n">
        <f aca="false">SUMIFS('All Keywords'!$I$2:$I$1170,'All Keywords'!$H$2:$H$1170,C11)</f>
        <v>160</v>
      </c>
    </row>
    <row r="12" customFormat="false" ht="15" hidden="false" customHeight="false" outlineLevel="0" collapsed="false">
      <c r="A12" s="4" t="n">
        <v>1</v>
      </c>
      <c r="B12" s="4" t="s">
        <v>38</v>
      </c>
      <c r="C12" s="4" t="s">
        <v>39</v>
      </c>
      <c r="D12" s="5" t="s">
        <v>40</v>
      </c>
      <c r="E12" s="4" t="s">
        <v>41</v>
      </c>
      <c r="F12" s="6" t="n">
        <f aca="false">SUMIFS('All Keywords'!$B$2:$B$1170,'All Keywords'!$A$2:$A$1170,E12)</f>
        <v>170</v>
      </c>
      <c r="G12" s="4" t="n">
        <f aca="false">SUMIFS('All Keywords'!$C$2:$C$1170,'All Keywords'!$A$2:$A$1170,E12)</f>
        <v>6</v>
      </c>
      <c r="H12" s="5" t="s">
        <v>42</v>
      </c>
      <c r="I12" s="4" t="n">
        <f aca="false">COUNTIFS('All Keywords'!$H$2:$H$1170,C12)</f>
        <v>2</v>
      </c>
      <c r="J12" s="6" t="n">
        <f aca="false">SUMIFS('All Keywords'!$B$2:$B$1170,'All Keywords'!$H$2:$H$1170,C12)</f>
        <v>430</v>
      </c>
      <c r="K12" s="7" t="n">
        <f aca="false">SUMIFS('All Keywords'!$I$2:$I$1170,'All Keywords'!$H$2:$H$1170,C12)</f>
        <v>125.6</v>
      </c>
    </row>
    <row r="13" customFormat="false" ht="15" hidden="false" customHeight="false" outlineLevel="0" collapsed="false">
      <c r="A13" s="4" t="n">
        <v>1</v>
      </c>
      <c r="B13" s="4" t="s">
        <v>43</v>
      </c>
      <c r="C13" s="4" t="s">
        <v>44</v>
      </c>
      <c r="D13" s="5" t="s">
        <v>45</v>
      </c>
      <c r="E13" s="4" t="s">
        <v>46</v>
      </c>
      <c r="F13" s="6" t="n">
        <f aca="false">SUMIFS('All Keywords'!$B$2:$B$1170,'All Keywords'!$A$2:$A$1170,E13)</f>
        <v>480</v>
      </c>
      <c r="G13" s="4" t="n">
        <f aca="false">SUMIFS('All Keywords'!$C$2:$C$1170,'All Keywords'!$A$2:$A$1170,E13)</f>
        <v>11</v>
      </c>
      <c r="H13" s="5" t="s">
        <v>47</v>
      </c>
      <c r="I13" s="4" t="n">
        <f aca="false">COUNTIFS('All Keywords'!$H$2:$H$1170,C13)</f>
        <v>3</v>
      </c>
      <c r="J13" s="6" t="n">
        <f aca="false">SUMIFS('All Keywords'!$B$2:$B$1170,'All Keywords'!$H$2:$H$1170,C13)</f>
        <v>970</v>
      </c>
      <c r="K13" s="7" t="n">
        <f aca="false">SUMIFS('All Keywords'!$I$2:$I$1170,'All Keywords'!$H$2:$H$1170,C13)</f>
        <v>595.9</v>
      </c>
    </row>
    <row r="14" customFormat="false" ht="39.55" hidden="false" customHeight="false" outlineLevel="0" collapsed="false">
      <c r="A14" s="4" t="n">
        <v>1</v>
      </c>
      <c r="B14" s="4" t="s">
        <v>48</v>
      </c>
      <c r="C14" s="4" t="s">
        <v>49</v>
      </c>
      <c r="D14" s="5" t="s">
        <v>50</v>
      </c>
      <c r="E14" s="4" t="s">
        <v>51</v>
      </c>
      <c r="F14" s="6" t="n">
        <f aca="false">SUMIFS('All Keywords'!$B$2:$B$1170,'All Keywords'!$A$2:$A$1170,E14)</f>
        <v>1000</v>
      </c>
      <c r="G14" s="4" t="n">
        <f aca="false">SUMIFS('All Keywords'!$C$2:$C$1170,'All Keywords'!$A$2:$A$1170,E14)</f>
        <v>11</v>
      </c>
      <c r="H14" s="5" t="s">
        <v>52</v>
      </c>
      <c r="I14" s="4" t="n">
        <f aca="false">COUNTIFS('All Keywords'!$H$2:$H$1170,C14)</f>
        <v>7</v>
      </c>
      <c r="J14" s="6" t="n">
        <f aca="false">SUMIFS('All Keywords'!$B$2:$B$1170,'All Keywords'!$H$2:$H$1170,C14)</f>
        <v>3350</v>
      </c>
      <c r="K14" s="7" t="n">
        <f aca="false">SUMIFS('All Keywords'!$I$2:$I$1170,'All Keywords'!$H$2:$H$1170,C14)</f>
        <v>2166.4</v>
      </c>
    </row>
    <row r="15" customFormat="false" ht="15" hidden="false" customHeight="false" outlineLevel="0" collapsed="false">
      <c r="A15" s="4" t="n">
        <v>1</v>
      </c>
      <c r="B15" s="4" t="s">
        <v>48</v>
      </c>
      <c r="C15" s="4" t="s">
        <v>53</v>
      </c>
      <c r="D15" s="5" t="s">
        <v>54</v>
      </c>
      <c r="E15" s="4" t="s">
        <v>55</v>
      </c>
      <c r="F15" s="6" t="n">
        <f aca="false">SUMIFS('All Keywords'!$B$2:$B$1170,'All Keywords'!$A$2:$A$1170,E15)</f>
        <v>390</v>
      </c>
      <c r="G15" s="4" t="n">
        <f aca="false">SUMIFS('All Keywords'!$C$2:$C$1170,'All Keywords'!$A$2:$A$1170,E15)</f>
        <v>17</v>
      </c>
      <c r="H15" s="5" t="s">
        <v>56</v>
      </c>
      <c r="I15" s="4" t="n">
        <f aca="false">COUNTIFS('All Keywords'!$H$2:$H$1170,C15)</f>
        <v>2</v>
      </c>
      <c r="J15" s="6" t="n">
        <f aca="false">SUMIFS('All Keywords'!$B$2:$B$1170,'All Keywords'!$H$2:$H$1170,C15)</f>
        <v>530</v>
      </c>
      <c r="K15" s="7" t="n">
        <f aca="false">SUMIFS('All Keywords'!$I$2:$I$1170,'All Keywords'!$H$2:$H$1170,C15)</f>
        <v>140.4</v>
      </c>
    </row>
    <row r="16" customFormat="false" ht="64.9" hidden="false" customHeight="false" outlineLevel="0" collapsed="false">
      <c r="A16" s="4" t="n">
        <v>1</v>
      </c>
      <c r="B16" s="4" t="s">
        <v>57</v>
      </c>
      <c r="C16" s="4" t="s">
        <v>58</v>
      </c>
      <c r="D16" s="5" t="s">
        <v>59</v>
      </c>
      <c r="E16" s="4" t="s">
        <v>60</v>
      </c>
      <c r="F16" s="6" t="n">
        <f aca="false">SUMIFS('All Keywords'!$B$2:$B$1170,'All Keywords'!$A$2:$A$1170,E16)</f>
        <v>1300</v>
      </c>
      <c r="G16" s="4" t="n">
        <f aca="false">SUMIFS('All Keywords'!$C$2:$C$1170,'All Keywords'!$A$2:$A$1170,E16)</f>
        <v>24</v>
      </c>
      <c r="H16" s="5" t="s">
        <v>61</v>
      </c>
      <c r="I16" s="4" t="n">
        <f aca="false">COUNTIFS('All Keywords'!$H$2:$H$1170,C16)</f>
        <v>11</v>
      </c>
      <c r="J16" s="6" t="n">
        <f aca="false">SUMIFS('All Keywords'!$B$2:$B$1170,'All Keywords'!$H$2:$H$1170,C16)</f>
        <v>5490</v>
      </c>
      <c r="K16" s="7" t="n">
        <f aca="false">SUMIFS('All Keywords'!$I$2:$I$1170,'All Keywords'!$H$2:$H$1170,C16)</f>
        <v>2714.1</v>
      </c>
    </row>
    <row r="17" customFormat="false" ht="26.85" hidden="false" customHeight="false" outlineLevel="0" collapsed="false">
      <c r="A17" s="4" t="n">
        <v>1</v>
      </c>
      <c r="B17" s="4" t="s">
        <v>57</v>
      </c>
      <c r="C17" s="4" t="s">
        <v>62</v>
      </c>
      <c r="D17" s="5" t="s">
        <v>63</v>
      </c>
      <c r="E17" s="4" t="s">
        <v>64</v>
      </c>
      <c r="F17" s="6" t="n">
        <f aca="false">SUMIFS('All Keywords'!$B$2:$B$1170,'All Keywords'!$A$2:$A$1170,E17)</f>
        <v>1000</v>
      </c>
      <c r="G17" s="4" t="n">
        <f aca="false">SUMIFS('All Keywords'!$C$2:$C$1170,'All Keywords'!$A$2:$A$1170,E17)</f>
        <v>27</v>
      </c>
      <c r="H17" s="5" t="s">
        <v>65</v>
      </c>
      <c r="I17" s="4" t="n">
        <f aca="false">COUNTIFS('All Keywords'!$H$2:$H$1170,C17)</f>
        <v>5</v>
      </c>
      <c r="J17" s="6" t="n">
        <f aca="false">SUMIFS('All Keywords'!$B$2:$B$1170,'All Keywords'!$H$2:$H$1170,C17)</f>
        <v>1880</v>
      </c>
      <c r="K17" s="7" t="n">
        <f aca="false">SUMIFS('All Keywords'!$I$2:$I$1170,'All Keywords'!$H$2:$H$1170,C17)</f>
        <v>1366.2</v>
      </c>
    </row>
    <row r="18" customFormat="false" ht="15" hidden="false" customHeight="false" outlineLevel="0" collapsed="false">
      <c r="A18" s="8" t="n">
        <v>2</v>
      </c>
      <c r="B18" s="8" t="s">
        <v>14</v>
      </c>
      <c r="C18" s="8" t="s">
        <v>66</v>
      </c>
      <c r="D18" s="9" t="s">
        <v>67</v>
      </c>
      <c r="E18" s="8" t="s">
        <v>68</v>
      </c>
      <c r="F18" s="10" t="n">
        <f aca="false">SUMIFS('All Keywords'!$B$2:$B$1170,'All Keywords'!$A$2:$A$1170,E18)</f>
        <v>260</v>
      </c>
      <c r="G18" s="8" t="n">
        <f aca="false">SUMIFS('All Keywords'!$C$2:$C$1170,'All Keywords'!$A$2:$A$1170,E18)</f>
        <v>11</v>
      </c>
      <c r="H18" s="9" t="s">
        <v>69</v>
      </c>
      <c r="I18" s="8" t="n">
        <f aca="false">COUNTIFS('All Keywords'!$H$2:$H$1170,C18)</f>
        <v>2</v>
      </c>
      <c r="J18" s="10" t="n">
        <f aca="false">SUMIFS('All Keywords'!$B$2:$B$1170,'All Keywords'!$H$2:$H$1170,C18)</f>
        <v>470</v>
      </c>
      <c r="K18" s="11" t="n">
        <f aca="false">SUMIFS('All Keywords'!$I$2:$I$1170,'All Keywords'!$H$2:$H$1170,C18)</f>
        <v>479.8</v>
      </c>
    </row>
    <row r="19" customFormat="false" ht="15" hidden="false" customHeight="false" outlineLevel="0" collapsed="false">
      <c r="A19" s="8" t="n">
        <v>2</v>
      </c>
      <c r="B19" s="8" t="s">
        <v>14</v>
      </c>
      <c r="C19" s="8" t="s">
        <v>70</v>
      </c>
      <c r="D19" s="9" t="s">
        <v>71</v>
      </c>
      <c r="E19" s="8" t="s">
        <v>72</v>
      </c>
      <c r="F19" s="10" t="n">
        <f aca="false">SUMIFS('All Keywords'!$B$2:$B$1170,'All Keywords'!$A$2:$A$1170,E19)</f>
        <v>390</v>
      </c>
      <c r="G19" s="8" t="n">
        <f aca="false">SUMIFS('All Keywords'!$C$2:$C$1170,'All Keywords'!$A$2:$A$1170,E19)</f>
        <v>29</v>
      </c>
      <c r="H19" s="9" t="s">
        <v>73</v>
      </c>
      <c r="I19" s="8" t="n">
        <f aca="false">COUNTIFS('All Keywords'!$H$2:$H$1170,C19)</f>
        <v>2</v>
      </c>
      <c r="J19" s="10" t="n">
        <f aca="false">SUMIFS('All Keywords'!$B$2:$B$1170,'All Keywords'!$H$2:$H$1170,C19)</f>
        <v>600</v>
      </c>
      <c r="K19" s="11" t="n">
        <f aca="false">SUMIFS('All Keywords'!$I$2:$I$1170,'All Keywords'!$H$2:$H$1170,C19)</f>
        <v>479.7</v>
      </c>
    </row>
    <row r="20" customFormat="false" ht="15" hidden="false" customHeight="false" outlineLevel="0" collapsed="false">
      <c r="A20" s="8" t="n">
        <v>2</v>
      </c>
      <c r="B20" s="8" t="s">
        <v>14</v>
      </c>
      <c r="C20" s="8" t="s">
        <v>74</v>
      </c>
      <c r="D20" s="9" t="s">
        <v>75</v>
      </c>
      <c r="E20" s="8" t="s">
        <v>76</v>
      </c>
      <c r="F20" s="10" t="n">
        <f aca="false">SUMIFS('All Keywords'!$B$2:$B$1170,'All Keywords'!$A$2:$A$1170,E20)</f>
        <v>320</v>
      </c>
      <c r="G20" s="8" t="n">
        <f aca="false">SUMIFS('All Keywords'!$C$2:$C$1170,'All Keywords'!$A$2:$A$1170,E20)</f>
        <v>19</v>
      </c>
      <c r="H20" s="9"/>
      <c r="I20" s="8" t="n">
        <f aca="false">COUNTIFS('All Keywords'!$H$2:$H$1170,C20)</f>
        <v>1</v>
      </c>
      <c r="J20" s="10" t="n">
        <f aca="false">SUMIFS('All Keywords'!$B$2:$B$1170,'All Keywords'!$H$2:$H$1170,C20)</f>
        <v>320</v>
      </c>
      <c r="K20" s="11" t="n">
        <f aca="false">SUMIFS('All Keywords'!$I$2:$I$1170,'All Keywords'!$H$2:$H$1170,C20)</f>
        <v>262.4</v>
      </c>
    </row>
    <row r="21" customFormat="false" ht="52.2" hidden="false" customHeight="false" outlineLevel="0" collapsed="false">
      <c r="A21" s="8" t="n">
        <v>2</v>
      </c>
      <c r="B21" s="8" t="s">
        <v>77</v>
      </c>
      <c r="C21" s="8" t="s">
        <v>78</v>
      </c>
      <c r="D21" s="9" t="s">
        <v>79</v>
      </c>
      <c r="E21" s="8" t="s">
        <v>80</v>
      </c>
      <c r="F21" s="10" t="n">
        <f aca="false">SUMIFS('All Keywords'!$B$2:$B$1170,'All Keywords'!$A$2:$A$1170,E21)</f>
        <v>1900</v>
      </c>
      <c r="G21" s="8" t="n">
        <f aca="false">SUMIFS('All Keywords'!$C$2:$C$1170,'All Keywords'!$A$2:$A$1170,E21)</f>
        <v>15</v>
      </c>
      <c r="H21" s="9" t="s">
        <v>81</v>
      </c>
      <c r="I21" s="8" t="n">
        <f aca="false">COUNTIFS('All Keywords'!$H$2:$H$1170,C21)</f>
        <v>9</v>
      </c>
      <c r="J21" s="10" t="n">
        <f aca="false">SUMIFS('All Keywords'!$B$2:$B$1170,'All Keywords'!$H$2:$H$1170,C21)</f>
        <v>4410</v>
      </c>
      <c r="K21" s="11" t="n">
        <f aca="false">SUMIFS('All Keywords'!$I$2:$I$1170,'All Keywords'!$H$2:$H$1170,C21)</f>
        <v>6014.1</v>
      </c>
    </row>
    <row r="22" customFormat="false" ht="15" hidden="false" customHeight="false" outlineLevel="0" collapsed="false">
      <c r="A22" s="8" t="n">
        <v>2</v>
      </c>
      <c r="B22" s="8" t="s">
        <v>38</v>
      </c>
      <c r="C22" s="8" t="s">
        <v>82</v>
      </c>
      <c r="D22" s="9" t="s">
        <v>83</v>
      </c>
      <c r="E22" s="8" t="s">
        <v>84</v>
      </c>
      <c r="F22" s="10" t="n">
        <f aca="false">SUMIFS('All Keywords'!$B$2:$B$1170,'All Keywords'!$A$2:$A$1170,E22)</f>
        <v>390</v>
      </c>
      <c r="G22" s="8" t="n">
        <f aca="false">SUMIFS('All Keywords'!$C$2:$C$1170,'All Keywords'!$A$2:$A$1170,E22)</f>
        <v>15</v>
      </c>
      <c r="H22" s="9" t="s">
        <v>85</v>
      </c>
      <c r="I22" s="8" t="n">
        <f aca="false">COUNTIFS('All Keywords'!$H$2:$H$1170,C22)</f>
        <v>3</v>
      </c>
      <c r="J22" s="10" t="n">
        <f aca="false">SUMIFS('All Keywords'!$B$2:$B$1170,'All Keywords'!$H$2:$H$1170,C22)</f>
        <v>440</v>
      </c>
      <c r="K22" s="11" t="n">
        <f aca="false">SUMIFS('All Keywords'!$I$2:$I$1170,'All Keywords'!$H$2:$H$1170,C22)</f>
        <v>96</v>
      </c>
    </row>
    <row r="23" customFormat="false" ht="26.85" hidden="false" customHeight="false" outlineLevel="0" collapsed="false">
      <c r="A23" s="8" t="n">
        <v>2</v>
      </c>
      <c r="B23" s="8" t="s">
        <v>86</v>
      </c>
      <c r="C23" s="8" t="s">
        <v>87</v>
      </c>
      <c r="D23" s="9" t="s">
        <v>88</v>
      </c>
      <c r="E23" s="8" t="s">
        <v>89</v>
      </c>
      <c r="F23" s="10" t="n">
        <f aca="false">SUMIFS('All Keywords'!$B$2:$B$1170,'All Keywords'!$A$2:$A$1170,E23)</f>
        <v>590</v>
      </c>
      <c r="G23" s="8" t="n">
        <f aca="false">SUMIFS('All Keywords'!$C$2:$C$1170,'All Keywords'!$A$2:$A$1170,E23)</f>
        <v>27</v>
      </c>
      <c r="H23" s="9" t="s">
        <v>90</v>
      </c>
      <c r="I23" s="8" t="n">
        <f aca="false">COUNTIFS('All Keywords'!$H$2:$H$1170,C23)</f>
        <v>4</v>
      </c>
      <c r="J23" s="10" t="n">
        <f aca="false">SUMIFS('All Keywords'!$B$2:$B$1170,'All Keywords'!$H$2:$H$1170,C23)</f>
        <v>1410</v>
      </c>
      <c r="K23" s="11" t="n">
        <f aca="false">SUMIFS('All Keywords'!$I$2:$I$1170,'All Keywords'!$H$2:$H$1170,C23)</f>
        <v>1243.4</v>
      </c>
    </row>
    <row r="24" customFormat="false" ht="39.55" hidden="false" customHeight="false" outlineLevel="0" collapsed="false">
      <c r="A24" s="8" t="n">
        <v>2</v>
      </c>
      <c r="B24" s="8" t="s">
        <v>86</v>
      </c>
      <c r="C24" s="8" t="s">
        <v>91</v>
      </c>
      <c r="D24" s="9" t="s">
        <v>92</v>
      </c>
      <c r="E24" s="8" t="s">
        <v>93</v>
      </c>
      <c r="F24" s="10" t="n">
        <f aca="false">SUMIFS('All Keywords'!$B$2:$B$1170,'All Keywords'!$A$2:$A$1170,E24)</f>
        <v>880</v>
      </c>
      <c r="G24" s="8" t="n">
        <f aca="false">SUMIFS('All Keywords'!$C$2:$C$1170,'All Keywords'!$A$2:$A$1170,E24)</f>
        <v>17</v>
      </c>
      <c r="H24" s="9" t="s">
        <v>94</v>
      </c>
      <c r="I24" s="8" t="n">
        <f aca="false">COUNTIFS('All Keywords'!$H$2:$H$1170,C24)</f>
        <v>7</v>
      </c>
      <c r="J24" s="10" t="n">
        <f aca="false">SUMIFS('All Keywords'!$B$2:$B$1170,'All Keywords'!$H$2:$H$1170,C24)</f>
        <v>2890</v>
      </c>
      <c r="K24" s="11" t="n">
        <f aca="false">SUMIFS('All Keywords'!$I$2:$I$1170,'All Keywords'!$H$2:$H$1170,C24)</f>
        <v>2818.9</v>
      </c>
    </row>
    <row r="25" customFormat="false" ht="15" hidden="false" customHeight="false" outlineLevel="0" collapsed="false">
      <c r="A25" s="8" t="n">
        <v>2</v>
      </c>
      <c r="B25" s="8" t="s">
        <v>48</v>
      </c>
      <c r="C25" s="8" t="s">
        <v>95</v>
      </c>
      <c r="D25" s="9" t="s">
        <v>96</v>
      </c>
      <c r="E25" s="8" t="s">
        <v>97</v>
      </c>
      <c r="F25" s="10" t="n">
        <f aca="false">SUMIFS('All Keywords'!$B$2:$B$1170,'All Keywords'!$A$2:$A$1170,E25)</f>
        <v>720</v>
      </c>
      <c r="G25" s="8" t="n">
        <f aca="false">SUMIFS('All Keywords'!$C$2:$C$1170,'All Keywords'!$A$2:$A$1170,E25)</f>
        <v>26</v>
      </c>
      <c r="H25" s="9"/>
      <c r="I25" s="8" t="n">
        <f aca="false">COUNTIFS('All Keywords'!$H$2:$H$1170,C25)</f>
        <v>1</v>
      </c>
      <c r="J25" s="10" t="n">
        <f aca="false">SUMIFS('All Keywords'!$B$2:$B$1170,'All Keywords'!$H$2:$H$1170,C25)</f>
        <v>720</v>
      </c>
      <c r="K25" s="11" t="n">
        <f aca="false">SUMIFS('All Keywords'!$I$2:$I$1170,'All Keywords'!$H$2:$H$1170,C25)</f>
        <v>540</v>
      </c>
    </row>
    <row r="26" customFormat="false" ht="15" hidden="false" customHeight="false" outlineLevel="0" collapsed="false">
      <c r="A26" s="8" t="n">
        <v>2</v>
      </c>
      <c r="B26" s="8" t="s">
        <v>48</v>
      </c>
      <c r="C26" s="8" t="s">
        <v>98</v>
      </c>
      <c r="D26" s="9" t="s">
        <v>99</v>
      </c>
      <c r="E26" s="8" t="s">
        <v>100</v>
      </c>
      <c r="F26" s="10" t="n">
        <f aca="false">SUMIFS('All Keywords'!$B$2:$B$1170,'All Keywords'!$A$2:$A$1170,E26)</f>
        <v>260</v>
      </c>
      <c r="G26" s="8" t="n">
        <f aca="false">SUMIFS('All Keywords'!$C$2:$C$1170,'All Keywords'!$A$2:$A$1170,E26)</f>
        <v>10</v>
      </c>
      <c r="H26" s="9" t="s">
        <v>101</v>
      </c>
      <c r="I26" s="8" t="n">
        <f aca="false">COUNTIFS('All Keywords'!$H$2:$H$1170,C26)</f>
        <v>3</v>
      </c>
      <c r="J26" s="10" t="n">
        <f aca="false">SUMIFS('All Keywords'!$B$2:$B$1170,'All Keywords'!$H$2:$H$1170,C26)</f>
        <v>540</v>
      </c>
      <c r="K26" s="11" t="n">
        <f aca="false">SUMIFS('All Keywords'!$I$2:$I$1170,'All Keywords'!$H$2:$H$1170,C26)</f>
        <v>336.2</v>
      </c>
    </row>
    <row r="27" customFormat="false" ht="26.85" hidden="false" customHeight="false" outlineLevel="0" collapsed="false">
      <c r="A27" s="8" t="n">
        <v>2</v>
      </c>
      <c r="B27" s="8" t="s">
        <v>48</v>
      </c>
      <c r="C27" s="8" t="s">
        <v>102</v>
      </c>
      <c r="D27" s="9" t="s">
        <v>103</v>
      </c>
      <c r="E27" s="8" t="s">
        <v>104</v>
      </c>
      <c r="F27" s="10" t="n">
        <f aca="false">SUMIFS('All Keywords'!$B$2:$B$1170,'All Keywords'!$A$2:$A$1170,E27)</f>
        <v>9900</v>
      </c>
      <c r="G27" s="8" t="n">
        <f aca="false">SUMIFS('All Keywords'!$C$2:$C$1170,'All Keywords'!$A$2:$A$1170,E27)</f>
        <v>28</v>
      </c>
      <c r="H27" s="9" t="s">
        <v>105</v>
      </c>
      <c r="I27" s="8" t="n">
        <f aca="false">COUNTIFS('All Keywords'!$H$2:$H$1170,C27)</f>
        <v>6</v>
      </c>
      <c r="J27" s="10" t="n">
        <f aca="false">SUMIFS('All Keywords'!$B$2:$B$1170,'All Keywords'!$H$2:$H$1170,C27)</f>
        <v>18700</v>
      </c>
      <c r="K27" s="11" t="n">
        <f aca="false">SUMIFS('All Keywords'!$I$2:$I$1170,'All Keywords'!$H$2:$H$1170,C27)</f>
        <v>9465</v>
      </c>
    </row>
    <row r="28" customFormat="false" ht="26.85" hidden="false" customHeight="false" outlineLevel="0" collapsed="false">
      <c r="A28" s="8" t="n">
        <v>2</v>
      </c>
      <c r="B28" s="8" t="s">
        <v>48</v>
      </c>
      <c r="C28" s="8" t="s">
        <v>106</v>
      </c>
      <c r="D28" s="9" t="s">
        <v>107</v>
      </c>
      <c r="E28" s="8" t="s">
        <v>108</v>
      </c>
      <c r="F28" s="10" t="n">
        <f aca="false">SUMIFS('All Keywords'!$B$2:$B$1170,'All Keywords'!$A$2:$A$1170,E28)</f>
        <v>1000</v>
      </c>
      <c r="G28" s="8" t="n">
        <f aca="false">SUMIFS('All Keywords'!$C$2:$C$1170,'All Keywords'!$A$2:$A$1170,E28)</f>
        <v>14</v>
      </c>
      <c r="H28" s="9" t="s">
        <v>109</v>
      </c>
      <c r="I28" s="8" t="n">
        <f aca="false">COUNTIFS('All Keywords'!$H$2:$H$1170,C28)</f>
        <v>5</v>
      </c>
      <c r="J28" s="10" t="n">
        <f aca="false">SUMIFS('All Keywords'!$B$2:$B$1170,'All Keywords'!$H$2:$H$1170,C28)</f>
        <v>4880</v>
      </c>
      <c r="K28" s="11" t="n">
        <f aca="false">SUMIFS('All Keywords'!$I$2:$I$1170,'All Keywords'!$H$2:$H$1170,C28)</f>
        <v>2511.6</v>
      </c>
    </row>
    <row r="29" customFormat="false" ht="15" hidden="false" customHeight="false" outlineLevel="0" collapsed="false">
      <c r="A29" s="8" t="n">
        <v>2</v>
      </c>
      <c r="B29" s="8" t="s">
        <v>57</v>
      </c>
      <c r="C29" s="8" t="s">
        <v>110</v>
      </c>
      <c r="D29" s="9" t="s">
        <v>111</v>
      </c>
      <c r="E29" s="8" t="s">
        <v>112</v>
      </c>
      <c r="F29" s="10" t="n">
        <f aca="false">SUMIFS('All Keywords'!$B$2:$B$1170,'All Keywords'!$A$2:$A$1170,E29)</f>
        <v>720</v>
      </c>
      <c r="G29" s="8" t="n">
        <f aca="false">SUMIFS('All Keywords'!$C$2:$C$1170,'All Keywords'!$A$2:$A$1170,E29)</f>
        <v>22</v>
      </c>
      <c r="H29" s="9" t="s">
        <v>113</v>
      </c>
      <c r="I29" s="8" t="n">
        <f aca="false">COUNTIFS('All Keywords'!$H$2:$H$1170,C29)</f>
        <v>2</v>
      </c>
      <c r="J29" s="10" t="n">
        <f aca="false">SUMIFS('All Keywords'!$B$2:$B$1170,'All Keywords'!$H$2:$H$1170,C29)</f>
        <v>830</v>
      </c>
      <c r="K29" s="11" t="n">
        <f aca="false">SUMIFS('All Keywords'!$I$2:$I$1170,'All Keywords'!$H$2:$H$1170,C29)</f>
        <v>0</v>
      </c>
    </row>
    <row r="30" customFormat="false" ht="15" hidden="false" customHeight="false" outlineLevel="0" collapsed="false">
      <c r="A30" s="12" t="n">
        <v>3</v>
      </c>
      <c r="B30" s="12" t="s">
        <v>14</v>
      </c>
      <c r="C30" s="12" t="s">
        <v>114</v>
      </c>
      <c r="D30" s="13" t="s">
        <v>115</v>
      </c>
      <c r="E30" s="12" t="s">
        <v>116</v>
      </c>
      <c r="F30" s="14" t="n">
        <f aca="false">SUMIFS('All Keywords'!$B$2:$B$1170,'All Keywords'!$A$2:$A$1170,E30)</f>
        <v>0</v>
      </c>
      <c r="G30" s="12" t="n">
        <f aca="false">SUMIFS('All Keywords'!$C$2:$C$1170,'All Keywords'!$A$2:$A$1170,E30)</f>
        <v>7</v>
      </c>
      <c r="H30" s="13" t="s">
        <v>117</v>
      </c>
      <c r="I30" s="12" t="n">
        <f aca="false">COUNTIFS('All Keywords'!$H$2:$H$1170,C30)</f>
        <v>2</v>
      </c>
      <c r="J30" s="14" t="n">
        <f aca="false">SUMIFS('All Keywords'!$B$2:$B$1170,'All Keywords'!$H$2:$H$1170,C30)</f>
        <v>0</v>
      </c>
      <c r="K30" s="15" t="n">
        <f aca="false">SUMIFS('All Keywords'!$I$2:$I$1170,'All Keywords'!$H$2:$H$1170,C30)</f>
        <v>0</v>
      </c>
    </row>
    <row r="31" customFormat="false" ht="15" hidden="false" customHeight="false" outlineLevel="0" collapsed="false">
      <c r="A31" s="12" t="n">
        <v>3</v>
      </c>
      <c r="B31" s="12" t="s">
        <v>26</v>
      </c>
      <c r="C31" s="12" t="s">
        <v>118</v>
      </c>
      <c r="D31" s="13" t="s">
        <v>119</v>
      </c>
      <c r="E31" s="12" t="s">
        <v>120</v>
      </c>
      <c r="F31" s="14" t="n">
        <f aca="false">SUMIFS('All Keywords'!$B$2:$B$1170,'All Keywords'!$A$2:$A$1170,E31)</f>
        <v>590</v>
      </c>
      <c r="G31" s="12" t="n">
        <f aca="false">SUMIFS('All Keywords'!$C$2:$C$1170,'All Keywords'!$A$2:$A$1170,E31)</f>
        <v>28</v>
      </c>
      <c r="H31" s="13" t="s">
        <v>121</v>
      </c>
      <c r="I31" s="12" t="n">
        <f aca="false">COUNTIFS('All Keywords'!$H$2:$H$1170,C31)</f>
        <v>2</v>
      </c>
      <c r="J31" s="14" t="n">
        <f aca="false">SUMIFS('All Keywords'!$B$2:$B$1170,'All Keywords'!$H$2:$H$1170,C31)</f>
        <v>850</v>
      </c>
      <c r="K31" s="15" t="n">
        <f aca="false">SUMIFS('All Keywords'!$I$2:$I$1170,'All Keywords'!$H$2:$H$1170,C31)</f>
        <v>314</v>
      </c>
    </row>
    <row r="32" customFormat="false" ht="15" hidden="false" customHeight="false" outlineLevel="0" collapsed="false">
      <c r="D32" s="16" t="s">
        <v>122</v>
      </c>
      <c r="I32" s="16" t="n">
        <f aca="false">SUM(I6:I31)</f>
        <v>105</v>
      </c>
      <c r="J32" s="17" t="n">
        <f aca="false">SUM(J6:J31)</f>
        <v>63670</v>
      </c>
      <c r="K32" s="18" t="n">
        <f aca="false">SUM(K6:K31)</f>
        <v>39401.4</v>
      </c>
    </row>
    <row r="33" customFormat="false" ht="15" hidden="false" customHeight="false" outlineLevel="0" collapsed="false">
      <c r="D33" s="19" t="s">
        <v>123</v>
      </c>
      <c r="J33" s="20" t="n">
        <f aca="false">SUMIFS(J6:J31,A6:A31,1)</f>
        <v>26610</v>
      </c>
    </row>
    <row r="34" customFormat="false" ht="15" hidden="false" customHeight="false" outlineLevel="0" collapsed="false">
      <c r="D34" s="19" t="s">
        <v>124</v>
      </c>
      <c r="J34" s="20" t="n">
        <f aca="false">SUMIFS(J6:J31,A6:A31,2)</f>
        <v>36210</v>
      </c>
    </row>
    <row r="35" customFormat="false" ht="15" hidden="false" customHeight="false" outlineLevel="0" collapsed="false">
      <c r="D35" s="19" t="s">
        <v>125</v>
      </c>
      <c r="J35" s="20" t="n">
        <f aca="false">SUMIFS(J6:J31,A6:A31,3)</f>
        <v>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0"/>
    <col collapsed="false" customWidth="true" hidden="false" outlineLevel="0" max="3" min="3" style="0" width="7"/>
    <col collapsed="false" customWidth="true" hidden="false" outlineLevel="0" max="4" min="4" style="0" width="10"/>
    <col collapsed="false" customWidth="true" hidden="false" outlineLevel="0" max="5" min="5" style="0" width="22"/>
    <col collapsed="false" customWidth="true" hidden="false" outlineLevel="0" max="6" min="6" style="0" width="26"/>
    <col collapsed="false" customWidth="true" hidden="false" outlineLevel="0" max="7" min="7" style="0" width="44"/>
    <col collapsed="false" customWidth="true" hidden="false" outlineLevel="0" max="8" min="8" style="0" width="38"/>
    <col collapsed="false" customWidth="true" hidden="false" outlineLevel="0" max="9" min="9" style="0" width="12"/>
  </cols>
  <sheetData>
    <row r="1" customFormat="false" ht="15" hidden="false" customHeight="false" outlineLevel="0" collapsed="false">
      <c r="A1" s="21" t="s">
        <v>126</v>
      </c>
      <c r="B1" s="21" t="s">
        <v>127</v>
      </c>
      <c r="C1" s="21" t="s">
        <v>128</v>
      </c>
      <c r="D1" s="21" t="s">
        <v>129</v>
      </c>
      <c r="E1" s="21" t="s">
        <v>130</v>
      </c>
      <c r="F1" s="21" t="s">
        <v>131</v>
      </c>
      <c r="G1" s="21" t="s">
        <v>132</v>
      </c>
      <c r="H1" s="21" t="s">
        <v>133</v>
      </c>
      <c r="I1" s="21" t="s">
        <v>134</v>
      </c>
    </row>
    <row r="2" customFormat="false" ht="15" hidden="false" customHeight="false" outlineLevel="0" collapsed="false">
      <c r="A2" s="19" t="s">
        <v>32</v>
      </c>
      <c r="B2" s="22" t="n">
        <v>2900</v>
      </c>
      <c r="C2" s="19" t="n">
        <v>29</v>
      </c>
      <c r="D2" s="23" t="n">
        <v>0.55</v>
      </c>
      <c r="E2" s="19" t="s">
        <v>135</v>
      </c>
      <c r="F2" s="19" t="s">
        <v>136</v>
      </c>
      <c r="G2" s="19" t="s">
        <v>137</v>
      </c>
      <c r="H2" s="19" t="s">
        <v>30</v>
      </c>
      <c r="I2" s="24" t="n">
        <f aca="false">IF(AND(ISNUMBER(B2),ISNUMBER(D2)),B2*D2,0)</f>
        <v>1595</v>
      </c>
    </row>
    <row r="3" customFormat="false" ht="15" hidden="false" customHeight="false" outlineLevel="0" collapsed="false">
      <c r="A3" s="19" t="s">
        <v>120</v>
      </c>
      <c r="B3" s="22" t="n">
        <v>590</v>
      </c>
      <c r="C3" s="19" t="n">
        <v>28</v>
      </c>
      <c r="D3" s="23" t="n">
        <v>0.4</v>
      </c>
      <c r="E3" s="19" t="s">
        <v>135</v>
      </c>
      <c r="F3" s="19" t="s">
        <v>136</v>
      </c>
      <c r="G3" s="19" t="s">
        <v>137</v>
      </c>
      <c r="H3" s="19" t="s">
        <v>118</v>
      </c>
      <c r="I3" s="24" t="n">
        <f aca="false">IF(AND(ISNUMBER(B3),ISNUMBER(D3)),B3*D3,0)</f>
        <v>236</v>
      </c>
    </row>
    <row r="4" customFormat="false" ht="15" hidden="false" customHeight="false" outlineLevel="0" collapsed="false">
      <c r="A4" s="19" t="s">
        <v>138</v>
      </c>
      <c r="B4" s="22" t="n">
        <v>480</v>
      </c>
      <c r="C4" s="19" t="n">
        <v>27</v>
      </c>
      <c r="D4" s="23" t="n">
        <v>0.55</v>
      </c>
      <c r="E4" s="19" t="s">
        <v>135</v>
      </c>
      <c r="F4" s="19" t="s">
        <v>136</v>
      </c>
      <c r="G4" s="19" t="s">
        <v>137</v>
      </c>
      <c r="H4" s="19" t="s">
        <v>30</v>
      </c>
      <c r="I4" s="24" t="n">
        <f aca="false">IF(AND(ISNUMBER(B4),ISNUMBER(D4)),B4*D4,0)</f>
        <v>264</v>
      </c>
    </row>
    <row r="5" customFormat="false" ht="15" hidden="false" customHeight="false" outlineLevel="0" collapsed="false">
      <c r="A5" s="19" t="s">
        <v>139</v>
      </c>
      <c r="B5" s="22" t="n">
        <v>390</v>
      </c>
      <c r="C5" s="19" t="n">
        <v>26</v>
      </c>
      <c r="D5" s="23" t="n">
        <v>0.73</v>
      </c>
      <c r="E5" s="19" t="s">
        <v>135</v>
      </c>
      <c r="F5" s="19" t="s">
        <v>136</v>
      </c>
      <c r="G5" s="19" t="s">
        <v>137</v>
      </c>
      <c r="H5" s="19" t="s">
        <v>30</v>
      </c>
      <c r="I5" s="24" t="n">
        <f aca="false">IF(AND(ISNUMBER(B5),ISNUMBER(D5)),B5*D5,0)</f>
        <v>284.7</v>
      </c>
    </row>
    <row r="6" customFormat="false" ht="15" hidden="false" customHeight="false" outlineLevel="0" collapsed="false">
      <c r="A6" s="19" t="s">
        <v>36</v>
      </c>
      <c r="B6" s="22" t="n">
        <v>320</v>
      </c>
      <c r="C6" s="19" t="n">
        <v>28</v>
      </c>
      <c r="D6" s="23" t="n">
        <v>0.5</v>
      </c>
      <c r="E6" s="19" t="s">
        <v>135</v>
      </c>
      <c r="F6" s="19" t="s">
        <v>140</v>
      </c>
      <c r="G6" s="19" t="s">
        <v>137</v>
      </c>
      <c r="H6" s="19" t="s">
        <v>34</v>
      </c>
      <c r="I6" s="24" t="n">
        <f aca="false">IF(AND(ISNUMBER(B6),ISNUMBER(D6)),B6*D6,0)</f>
        <v>160</v>
      </c>
    </row>
    <row r="7" customFormat="false" ht="15" hidden="false" customHeight="false" outlineLevel="0" collapsed="false">
      <c r="A7" s="19" t="s">
        <v>141</v>
      </c>
      <c r="B7" s="22" t="n">
        <v>260</v>
      </c>
      <c r="C7" s="19" t="n">
        <v>26</v>
      </c>
      <c r="D7" s="23" t="n">
        <v>0.68</v>
      </c>
      <c r="E7" s="19" t="s">
        <v>135</v>
      </c>
      <c r="F7" s="19" t="s">
        <v>136</v>
      </c>
      <c r="G7" s="19" t="s">
        <v>137</v>
      </c>
      <c r="H7" s="19" t="s">
        <v>30</v>
      </c>
      <c r="I7" s="24" t="n">
        <f aca="false">IF(AND(ISNUMBER(B7),ISNUMBER(D7)),B7*D7,0)</f>
        <v>176.8</v>
      </c>
    </row>
    <row r="8" customFormat="false" ht="15" hidden="false" customHeight="false" outlineLevel="0" collapsed="false">
      <c r="A8" s="19" t="s">
        <v>121</v>
      </c>
      <c r="B8" s="22" t="n">
        <v>260</v>
      </c>
      <c r="C8" s="19" t="n">
        <v>29</v>
      </c>
      <c r="D8" s="23" t="n">
        <v>0.3</v>
      </c>
      <c r="E8" s="19" t="s">
        <v>135</v>
      </c>
      <c r="F8" s="19" t="s">
        <v>136</v>
      </c>
      <c r="G8" s="19" t="s">
        <v>137</v>
      </c>
      <c r="H8" s="19" t="s">
        <v>118</v>
      </c>
      <c r="I8" s="24" t="n">
        <f aca="false">IF(AND(ISNUMBER(B8),ISNUMBER(D8)),B8*D8,0)</f>
        <v>78</v>
      </c>
    </row>
    <row r="9" customFormat="false" ht="15" hidden="false" customHeight="false" outlineLevel="0" collapsed="false">
      <c r="A9" s="19" t="s">
        <v>142</v>
      </c>
      <c r="B9" s="22" t="n">
        <v>210</v>
      </c>
      <c r="C9" s="19" t="n">
        <v>26</v>
      </c>
      <c r="D9" s="23" t="n">
        <v>0.61</v>
      </c>
      <c r="E9" s="19" t="s">
        <v>135</v>
      </c>
      <c r="F9" s="19" t="s">
        <v>136</v>
      </c>
      <c r="G9" s="19" t="s">
        <v>137</v>
      </c>
      <c r="H9" s="19" t="s">
        <v>30</v>
      </c>
      <c r="I9" s="24" t="n">
        <f aca="false">IF(AND(ISNUMBER(B9),ISNUMBER(D9)),B9*D9,0)</f>
        <v>128.1</v>
      </c>
    </row>
    <row r="10" customFormat="false" ht="15" hidden="false" customHeight="false" outlineLevel="0" collapsed="false">
      <c r="A10" s="19" t="s">
        <v>143</v>
      </c>
      <c r="B10" s="22" t="n">
        <v>170</v>
      </c>
      <c r="C10" s="19" t="n">
        <v>15</v>
      </c>
      <c r="D10" s="23" t="n">
        <v>0</v>
      </c>
      <c r="E10" s="19" t="s">
        <v>135</v>
      </c>
      <c r="F10" s="19" t="s">
        <v>140</v>
      </c>
      <c r="G10" s="19" t="s">
        <v>137</v>
      </c>
      <c r="H10" s="19" t="s">
        <v>34</v>
      </c>
      <c r="I10" s="24" t="n">
        <f aca="false">IF(AND(ISNUMBER(B10),ISNUMBER(D10)),B10*D10,0)</f>
        <v>0</v>
      </c>
    </row>
    <row r="11" customFormat="false" ht="15" hidden="false" customHeight="false" outlineLevel="0" collapsed="false">
      <c r="A11" s="19" t="s">
        <v>144</v>
      </c>
      <c r="B11" s="22" t="n">
        <v>170</v>
      </c>
      <c r="C11" s="19" t="n">
        <v>25</v>
      </c>
      <c r="D11" s="23" t="n">
        <v>0</v>
      </c>
      <c r="E11" s="19" t="s">
        <v>145</v>
      </c>
      <c r="F11" s="19" t="s">
        <v>140</v>
      </c>
      <c r="G11" s="19" t="s">
        <v>137</v>
      </c>
      <c r="H11" s="19" t="s">
        <v>34</v>
      </c>
      <c r="I11" s="24" t="n">
        <f aca="false">IF(AND(ISNUMBER(B11),ISNUMBER(D11)),B11*D11,0)</f>
        <v>0</v>
      </c>
    </row>
    <row r="12" customFormat="false" ht="15" hidden="false" customHeight="false" outlineLevel="0" collapsed="false">
      <c r="A12" s="19" t="s">
        <v>146</v>
      </c>
      <c r="B12" s="22" t="n">
        <v>140</v>
      </c>
      <c r="C12" s="19" t="n">
        <v>28</v>
      </c>
      <c r="D12" s="23" t="n">
        <v>0.45</v>
      </c>
      <c r="E12" s="19" t="s">
        <v>135</v>
      </c>
      <c r="F12" s="19" t="s">
        <v>136</v>
      </c>
      <c r="G12" s="19" t="s">
        <v>137</v>
      </c>
      <c r="H12" s="19" t="s">
        <v>30</v>
      </c>
      <c r="I12" s="24" t="n">
        <f aca="false">IF(AND(ISNUMBER(B12),ISNUMBER(D12)),B12*D12,0)</f>
        <v>63</v>
      </c>
    </row>
    <row r="13" customFormat="false" ht="15" hidden="false" customHeight="false" outlineLevel="0" collapsed="false">
      <c r="A13" s="19" t="s">
        <v>147</v>
      </c>
      <c r="B13" s="22" t="n">
        <v>110</v>
      </c>
      <c r="C13" s="19" t="n">
        <v>24</v>
      </c>
      <c r="D13" s="23" t="n">
        <v>0</v>
      </c>
      <c r="E13" s="19" t="s">
        <v>135</v>
      </c>
      <c r="F13" s="19" t="s">
        <v>140</v>
      </c>
      <c r="G13" s="19" t="s">
        <v>137</v>
      </c>
      <c r="H13" s="19" t="s">
        <v>34</v>
      </c>
      <c r="I13" s="24" t="n">
        <f aca="false">IF(AND(ISNUMBER(B13),ISNUMBER(D13)),B13*D13,0)</f>
        <v>0</v>
      </c>
    </row>
    <row r="14" customFormat="false" ht="15" hidden="false" customHeight="false" outlineLevel="0" collapsed="false">
      <c r="A14" s="19" t="s">
        <v>148</v>
      </c>
      <c r="B14" s="22" t="n">
        <v>110</v>
      </c>
      <c r="C14" s="19" t="n">
        <v>26</v>
      </c>
      <c r="D14" s="23" t="n">
        <v>0.64</v>
      </c>
      <c r="E14" s="19" t="s">
        <v>135</v>
      </c>
      <c r="F14" s="19" t="s">
        <v>136</v>
      </c>
      <c r="G14" s="19" t="s">
        <v>137</v>
      </c>
      <c r="H14" s="19" t="s">
        <v>30</v>
      </c>
      <c r="I14" s="24" t="n">
        <f aca="false">IF(AND(ISNUMBER(B14),ISNUMBER(D14)),B14*D14,0)</f>
        <v>70.4</v>
      </c>
    </row>
    <row r="15" customFormat="false" ht="15" hidden="false" customHeight="false" outlineLevel="0" collapsed="false">
      <c r="A15" s="19" t="s">
        <v>149</v>
      </c>
      <c r="B15" s="22" t="n">
        <v>110</v>
      </c>
      <c r="C15" s="19" t="n">
        <v>28</v>
      </c>
      <c r="D15" s="23" t="n">
        <v>0</v>
      </c>
      <c r="E15" s="19" t="s">
        <v>135</v>
      </c>
      <c r="F15" s="19" t="s">
        <v>136</v>
      </c>
      <c r="G15" s="19" t="s">
        <v>137</v>
      </c>
      <c r="H15" s="19" t="s">
        <v>30</v>
      </c>
      <c r="I15" s="24" t="n">
        <f aca="false">IF(AND(ISNUMBER(B15),ISNUMBER(D15)),B15*D15,0)</f>
        <v>0</v>
      </c>
    </row>
    <row r="16" customFormat="false" ht="15" hidden="false" customHeight="false" outlineLevel="0" collapsed="false">
      <c r="A16" s="19" t="s">
        <v>150</v>
      </c>
      <c r="B16" s="22" t="n">
        <v>20</v>
      </c>
      <c r="C16" s="19" t="n">
        <v>11</v>
      </c>
      <c r="D16" s="23" t="n">
        <v>0</v>
      </c>
      <c r="E16" s="19" t="s">
        <v>135</v>
      </c>
      <c r="F16" s="19" t="s">
        <v>151</v>
      </c>
      <c r="G16" s="19" t="s">
        <v>137</v>
      </c>
      <c r="H16" s="19" t="s">
        <v>34</v>
      </c>
      <c r="I16" s="24" t="n">
        <f aca="false">IF(AND(ISNUMBER(B16),ISNUMBER(D16)),B16*D16,0)</f>
        <v>0</v>
      </c>
    </row>
    <row r="17" customFormat="false" ht="15" hidden="false" customHeight="false" outlineLevel="0" collapsed="false">
      <c r="A17" s="19" t="s">
        <v>152</v>
      </c>
      <c r="B17" s="22" t="n">
        <v>20</v>
      </c>
      <c r="C17" s="19" t="n">
        <v>7</v>
      </c>
      <c r="D17" s="23" t="n">
        <v>0</v>
      </c>
      <c r="E17" s="19" t="s">
        <v>135</v>
      </c>
      <c r="F17" s="19" t="s">
        <v>151</v>
      </c>
      <c r="G17" s="19" t="s">
        <v>137</v>
      </c>
      <c r="H17" s="19" t="s">
        <v>34</v>
      </c>
      <c r="I17" s="24" t="n">
        <f aca="false">IF(AND(ISNUMBER(B17),ISNUMBER(D17)),B17*D17,0)</f>
        <v>0</v>
      </c>
    </row>
    <row r="18" customFormat="false" ht="15" hidden="false" customHeight="false" outlineLevel="0" collapsed="false">
      <c r="A18" s="19" t="s">
        <v>29</v>
      </c>
      <c r="B18" s="22" t="n">
        <v>5400</v>
      </c>
      <c r="C18" s="19" t="n">
        <v>17</v>
      </c>
      <c r="D18" s="23" t="n">
        <v>0.43</v>
      </c>
      <c r="E18" s="19" t="s">
        <v>135</v>
      </c>
      <c r="F18" s="19" t="s">
        <v>153</v>
      </c>
      <c r="G18" s="19" t="s">
        <v>154</v>
      </c>
      <c r="H18" s="19" t="s">
        <v>27</v>
      </c>
      <c r="I18" s="24" t="n">
        <f aca="false">IF(AND(ISNUMBER(B18),ISNUMBER(D18)),B18*D18,0)</f>
        <v>2322</v>
      </c>
    </row>
    <row r="19" customFormat="false" ht="15" hidden="false" customHeight="false" outlineLevel="0" collapsed="false">
      <c r="A19" s="19" t="s">
        <v>155</v>
      </c>
      <c r="B19" s="22" t="n">
        <v>1300</v>
      </c>
      <c r="C19" s="19" t="n">
        <v>21</v>
      </c>
      <c r="D19" s="23" t="n">
        <v>0</v>
      </c>
      <c r="E19" s="19" t="s">
        <v>135</v>
      </c>
      <c r="F19" s="19" t="s">
        <v>151</v>
      </c>
      <c r="G19" s="19" t="s">
        <v>154</v>
      </c>
      <c r="H19" s="19" t="s">
        <v>58</v>
      </c>
      <c r="I19" s="24" t="n">
        <f aca="false">IF(AND(ISNUMBER(B19),ISNUMBER(D19)),B19*D19,0)</f>
        <v>0</v>
      </c>
    </row>
    <row r="20" customFormat="false" ht="15" hidden="false" customHeight="false" outlineLevel="0" collapsed="false">
      <c r="A20" s="19" t="s">
        <v>60</v>
      </c>
      <c r="B20" s="22" t="n">
        <v>1300</v>
      </c>
      <c r="C20" s="19" t="n">
        <v>24</v>
      </c>
      <c r="D20" s="23" t="n">
        <v>0.57</v>
      </c>
      <c r="E20" s="19"/>
      <c r="F20" s="19" t="s">
        <v>151</v>
      </c>
      <c r="G20" s="19" t="s">
        <v>154</v>
      </c>
      <c r="H20" s="19" t="s">
        <v>58</v>
      </c>
      <c r="I20" s="24" t="n">
        <f aca="false">IF(AND(ISNUMBER(B20),ISNUMBER(D20)),B20*D20,0)</f>
        <v>741</v>
      </c>
    </row>
    <row r="21" customFormat="false" ht="15" hidden="false" customHeight="false" outlineLevel="0" collapsed="false">
      <c r="A21" s="19" t="s">
        <v>156</v>
      </c>
      <c r="B21" s="22" t="n">
        <v>1000</v>
      </c>
      <c r="C21" s="19" t="n">
        <v>21</v>
      </c>
      <c r="D21" s="23" t="n">
        <v>0.98</v>
      </c>
      <c r="E21" s="19" t="s">
        <v>145</v>
      </c>
      <c r="F21" s="19" t="s">
        <v>136</v>
      </c>
      <c r="G21" s="19" t="s">
        <v>154</v>
      </c>
      <c r="H21" s="19" t="s">
        <v>49</v>
      </c>
      <c r="I21" s="24" t="n">
        <f aca="false">IF(AND(ISNUMBER(B21),ISNUMBER(D21)),B21*D21,0)</f>
        <v>980</v>
      </c>
    </row>
    <row r="22" customFormat="false" ht="15" hidden="false" customHeight="false" outlineLevel="0" collapsed="false">
      <c r="A22" s="19" t="s">
        <v>51</v>
      </c>
      <c r="B22" s="22" t="n">
        <v>1000</v>
      </c>
      <c r="C22" s="19" t="n">
        <v>11</v>
      </c>
      <c r="D22" s="23" t="n">
        <v>1.15</v>
      </c>
      <c r="E22" s="19" t="s">
        <v>145</v>
      </c>
      <c r="F22" s="19" t="s">
        <v>136</v>
      </c>
      <c r="G22" s="19" t="s">
        <v>154</v>
      </c>
      <c r="H22" s="19" t="s">
        <v>49</v>
      </c>
      <c r="I22" s="24" t="n">
        <f aca="false">IF(AND(ISNUMBER(B22),ISNUMBER(D22)),B22*D22,0)</f>
        <v>1150</v>
      </c>
    </row>
    <row r="23" customFormat="false" ht="15" hidden="false" customHeight="false" outlineLevel="0" collapsed="false">
      <c r="A23" s="19" t="s">
        <v>64</v>
      </c>
      <c r="B23" s="22" t="n">
        <v>1000</v>
      </c>
      <c r="C23" s="19" t="n">
        <v>27</v>
      </c>
      <c r="D23" s="23" t="n">
        <v>0.87</v>
      </c>
      <c r="E23" s="19" t="s">
        <v>135</v>
      </c>
      <c r="F23" s="19" t="s">
        <v>153</v>
      </c>
      <c r="G23" s="19" t="s">
        <v>154</v>
      </c>
      <c r="H23" s="19" t="s">
        <v>62</v>
      </c>
      <c r="I23" s="24" t="n">
        <f aca="false">IF(AND(ISNUMBER(B23),ISNUMBER(D23)),B23*D23,0)</f>
        <v>870</v>
      </c>
    </row>
    <row r="24" customFormat="false" ht="15" hidden="false" customHeight="false" outlineLevel="0" collapsed="false">
      <c r="A24" s="19" t="s">
        <v>97</v>
      </c>
      <c r="B24" s="22" t="n">
        <v>720</v>
      </c>
      <c r="C24" s="19" t="n">
        <v>26</v>
      </c>
      <c r="D24" s="23" t="n">
        <v>0.75</v>
      </c>
      <c r="E24" s="19" t="s">
        <v>157</v>
      </c>
      <c r="F24" s="19" t="s">
        <v>151</v>
      </c>
      <c r="G24" s="19" t="s">
        <v>154</v>
      </c>
      <c r="H24" s="19" t="s">
        <v>95</v>
      </c>
      <c r="I24" s="24" t="n">
        <f aca="false">IF(AND(ISNUMBER(B24),ISNUMBER(D24)),B24*D24,0)</f>
        <v>540</v>
      </c>
    </row>
    <row r="25" customFormat="false" ht="15" hidden="false" customHeight="false" outlineLevel="0" collapsed="false">
      <c r="A25" s="19" t="s">
        <v>112</v>
      </c>
      <c r="B25" s="22" t="n">
        <v>720</v>
      </c>
      <c r="C25" s="19" t="n">
        <v>22</v>
      </c>
      <c r="D25" s="23" t="n">
        <v>0</v>
      </c>
      <c r="E25" s="19" t="s">
        <v>145</v>
      </c>
      <c r="F25" s="19" t="s">
        <v>153</v>
      </c>
      <c r="G25" s="19" t="s">
        <v>154</v>
      </c>
      <c r="H25" s="19" t="s">
        <v>110</v>
      </c>
      <c r="I25" s="24" t="n">
        <f aca="false">IF(AND(ISNUMBER(B25),ISNUMBER(D25)),B25*D25,0)</f>
        <v>0</v>
      </c>
    </row>
    <row r="26" customFormat="false" ht="15" hidden="false" customHeight="false" outlineLevel="0" collapsed="false">
      <c r="A26" s="19" t="s">
        <v>21</v>
      </c>
      <c r="B26" s="22" t="n">
        <v>720</v>
      </c>
      <c r="C26" s="19" t="n">
        <v>23</v>
      </c>
      <c r="D26" s="23" t="n">
        <v>0.61</v>
      </c>
      <c r="E26" s="19" t="s">
        <v>145</v>
      </c>
      <c r="F26" s="19" t="s">
        <v>153</v>
      </c>
      <c r="G26" s="19" t="s">
        <v>154</v>
      </c>
      <c r="H26" s="19" t="s">
        <v>19</v>
      </c>
      <c r="I26" s="24" t="n">
        <f aca="false">IF(AND(ISNUMBER(B26),ISNUMBER(D26)),B26*D26,0)</f>
        <v>439.2</v>
      </c>
    </row>
    <row r="27" customFormat="false" ht="15" hidden="false" customHeight="false" outlineLevel="0" collapsed="false">
      <c r="A27" s="19" t="s">
        <v>158</v>
      </c>
      <c r="B27" s="22" t="n">
        <v>590</v>
      </c>
      <c r="C27" s="19" t="n">
        <v>26</v>
      </c>
      <c r="D27" s="23" t="n">
        <v>0.75</v>
      </c>
      <c r="E27" s="19"/>
      <c r="F27" s="19" t="s">
        <v>151</v>
      </c>
      <c r="G27" s="19" t="s">
        <v>154</v>
      </c>
      <c r="H27" s="19" t="s">
        <v>58</v>
      </c>
      <c r="I27" s="24" t="n">
        <f aca="false">IF(AND(ISNUMBER(B27),ISNUMBER(D27)),B27*D27,0)</f>
        <v>442.5</v>
      </c>
    </row>
    <row r="28" customFormat="false" ht="15" hidden="false" customHeight="false" outlineLevel="0" collapsed="false">
      <c r="A28" s="19" t="s">
        <v>159</v>
      </c>
      <c r="B28" s="22" t="n">
        <v>590</v>
      </c>
      <c r="C28" s="19" t="n">
        <v>22</v>
      </c>
      <c r="D28" s="23" t="n">
        <v>0</v>
      </c>
      <c r="E28" s="19" t="s">
        <v>145</v>
      </c>
      <c r="F28" s="19" t="s">
        <v>151</v>
      </c>
      <c r="G28" s="19" t="s">
        <v>154</v>
      </c>
      <c r="H28" s="19"/>
      <c r="I28" s="24" t="n">
        <f aca="false">IF(AND(ISNUMBER(B28),ISNUMBER(D28)),B28*D28,0)</f>
        <v>0</v>
      </c>
    </row>
    <row r="29" customFormat="false" ht="15" hidden="false" customHeight="false" outlineLevel="0" collapsed="false">
      <c r="A29" s="19" t="s">
        <v>160</v>
      </c>
      <c r="B29" s="22" t="n">
        <v>590</v>
      </c>
      <c r="C29" s="19" t="n">
        <v>9</v>
      </c>
      <c r="D29" s="23" t="n">
        <v>0</v>
      </c>
      <c r="E29" s="19" t="s">
        <v>135</v>
      </c>
      <c r="F29" s="19" t="s">
        <v>161</v>
      </c>
      <c r="G29" s="19" t="s">
        <v>154</v>
      </c>
      <c r="H29" s="19" t="s">
        <v>49</v>
      </c>
      <c r="I29" s="24" t="n">
        <f aca="false">IF(AND(ISNUMBER(B29),ISNUMBER(D29)),B29*D29,0)</f>
        <v>0</v>
      </c>
    </row>
    <row r="30" customFormat="false" ht="15" hidden="false" customHeight="false" outlineLevel="0" collapsed="false">
      <c r="A30" s="19" t="s">
        <v>162</v>
      </c>
      <c r="B30" s="22" t="n">
        <v>480</v>
      </c>
      <c r="C30" s="19" t="n">
        <v>27</v>
      </c>
      <c r="D30" s="23" t="n">
        <v>0.7</v>
      </c>
      <c r="E30" s="19" t="s">
        <v>145</v>
      </c>
      <c r="F30" s="19" t="s">
        <v>151</v>
      </c>
      <c r="G30" s="19" t="s">
        <v>154</v>
      </c>
      <c r="H30" s="19" t="s">
        <v>58</v>
      </c>
      <c r="I30" s="24" t="n">
        <f aca="false">IF(AND(ISNUMBER(B30),ISNUMBER(D30)),B30*D30,0)</f>
        <v>336</v>
      </c>
    </row>
    <row r="31" customFormat="false" ht="15" hidden="false" customHeight="false" outlineLevel="0" collapsed="false">
      <c r="A31" s="19" t="s">
        <v>163</v>
      </c>
      <c r="B31" s="22" t="n">
        <v>480</v>
      </c>
      <c r="C31" s="19" t="n">
        <v>29</v>
      </c>
      <c r="D31" s="23" t="n">
        <v>0.51</v>
      </c>
      <c r="E31" s="19" t="s">
        <v>157</v>
      </c>
      <c r="F31" s="19" t="s">
        <v>151</v>
      </c>
      <c r="G31" s="19" t="s">
        <v>154</v>
      </c>
      <c r="H31" s="19" t="s">
        <v>58</v>
      </c>
      <c r="I31" s="24" t="n">
        <f aca="false">IF(AND(ISNUMBER(B31),ISNUMBER(D31)),B31*D31,0)</f>
        <v>244.8</v>
      </c>
    </row>
    <row r="32" customFormat="false" ht="15" hidden="false" customHeight="false" outlineLevel="0" collapsed="false">
      <c r="A32" s="19" t="s">
        <v>46</v>
      </c>
      <c r="B32" s="22" t="n">
        <v>480</v>
      </c>
      <c r="C32" s="19" t="n">
        <v>11</v>
      </c>
      <c r="D32" s="23" t="n">
        <v>0.74</v>
      </c>
      <c r="E32" s="19" t="s">
        <v>135</v>
      </c>
      <c r="F32" s="19" t="s">
        <v>153</v>
      </c>
      <c r="G32" s="19" t="s">
        <v>154</v>
      </c>
      <c r="H32" s="19" t="s">
        <v>44</v>
      </c>
      <c r="I32" s="24" t="n">
        <f aca="false">IF(AND(ISNUMBER(B32),ISNUMBER(D32)),B32*D32,0)</f>
        <v>355.2</v>
      </c>
    </row>
    <row r="33" customFormat="false" ht="15" hidden="false" customHeight="false" outlineLevel="0" collapsed="false">
      <c r="A33" s="19" t="s">
        <v>164</v>
      </c>
      <c r="B33" s="22" t="n">
        <v>390</v>
      </c>
      <c r="C33" s="19" t="n">
        <v>19</v>
      </c>
      <c r="D33" s="23" t="n">
        <v>0</v>
      </c>
      <c r="E33" s="19" t="s">
        <v>135</v>
      </c>
      <c r="F33" s="19" t="s">
        <v>151</v>
      </c>
      <c r="G33" s="19" t="s">
        <v>154</v>
      </c>
      <c r="H33" s="19" t="s">
        <v>58</v>
      </c>
      <c r="I33" s="24" t="n">
        <f aca="false">IF(AND(ISNUMBER(B33),ISNUMBER(D33)),B33*D33,0)</f>
        <v>0</v>
      </c>
    </row>
    <row r="34" customFormat="false" ht="15" hidden="false" customHeight="false" outlineLevel="0" collapsed="false">
      <c r="A34" s="19" t="s">
        <v>165</v>
      </c>
      <c r="B34" s="22" t="n">
        <v>390</v>
      </c>
      <c r="C34" s="19" t="n">
        <v>29</v>
      </c>
      <c r="D34" s="23" t="n">
        <v>0</v>
      </c>
      <c r="E34" s="19" t="s">
        <v>166</v>
      </c>
      <c r="F34" s="19" t="s">
        <v>151</v>
      </c>
      <c r="G34" s="19" t="s">
        <v>154</v>
      </c>
      <c r="H34" s="19"/>
      <c r="I34" s="24" t="n">
        <f aca="false">IF(AND(ISNUMBER(B34),ISNUMBER(D34)),B34*D34,0)</f>
        <v>0</v>
      </c>
    </row>
    <row r="35" customFormat="false" ht="15" hidden="false" customHeight="false" outlineLevel="0" collapsed="false">
      <c r="A35" s="19" t="s">
        <v>167</v>
      </c>
      <c r="B35" s="22" t="n">
        <v>390</v>
      </c>
      <c r="C35" s="19" t="n">
        <v>26</v>
      </c>
      <c r="D35" s="23" t="n">
        <v>0.68</v>
      </c>
      <c r="E35" s="19" t="s">
        <v>168</v>
      </c>
      <c r="F35" s="19" t="s">
        <v>140</v>
      </c>
      <c r="G35" s="19" t="s">
        <v>154</v>
      </c>
      <c r="H35" s="19" t="s">
        <v>62</v>
      </c>
      <c r="I35" s="24" t="n">
        <f aca="false">IF(AND(ISNUMBER(B35),ISNUMBER(D35)),B35*D35,0)</f>
        <v>265.2</v>
      </c>
    </row>
    <row r="36" customFormat="false" ht="15" hidden="false" customHeight="false" outlineLevel="0" collapsed="false">
      <c r="A36" s="19" t="s">
        <v>72</v>
      </c>
      <c r="B36" s="22" t="n">
        <v>390</v>
      </c>
      <c r="C36" s="19" t="n">
        <v>29</v>
      </c>
      <c r="D36" s="23" t="n">
        <v>1.23</v>
      </c>
      <c r="E36" s="19" t="s">
        <v>168</v>
      </c>
      <c r="F36" s="19" t="s">
        <v>161</v>
      </c>
      <c r="G36" s="19" t="s">
        <v>154</v>
      </c>
      <c r="H36" s="19" t="s">
        <v>70</v>
      </c>
      <c r="I36" s="24" t="n">
        <f aca="false">IF(AND(ISNUMBER(B36),ISNUMBER(D36)),B36*D36,0)</f>
        <v>479.7</v>
      </c>
    </row>
    <row r="37" customFormat="false" ht="15" hidden="false" customHeight="false" outlineLevel="0" collapsed="false">
      <c r="A37" s="19" t="s">
        <v>169</v>
      </c>
      <c r="B37" s="22" t="n">
        <v>390</v>
      </c>
      <c r="C37" s="19" t="n">
        <v>10</v>
      </c>
      <c r="D37" s="23" t="n">
        <v>1.06</v>
      </c>
      <c r="E37" s="19" t="s">
        <v>157</v>
      </c>
      <c r="F37" s="19" t="s">
        <v>161</v>
      </c>
      <c r="G37" s="19" t="s">
        <v>154</v>
      </c>
      <c r="H37" s="19" t="s">
        <v>15</v>
      </c>
      <c r="I37" s="24" t="n">
        <f aca="false">IF(AND(ISNUMBER(B37),ISNUMBER(D37)),B37*D37,0)</f>
        <v>413.4</v>
      </c>
    </row>
    <row r="38" customFormat="false" ht="15" hidden="false" customHeight="false" outlineLevel="0" collapsed="false">
      <c r="A38" s="19" t="s">
        <v>170</v>
      </c>
      <c r="B38" s="22" t="n">
        <v>390</v>
      </c>
      <c r="C38" s="19" t="n">
        <v>24</v>
      </c>
      <c r="D38" s="23" t="n">
        <v>1.06</v>
      </c>
      <c r="E38" s="19" t="s">
        <v>145</v>
      </c>
      <c r="F38" s="19" t="s">
        <v>161</v>
      </c>
      <c r="G38" s="19" t="s">
        <v>154</v>
      </c>
      <c r="H38" s="19" t="s">
        <v>15</v>
      </c>
      <c r="I38" s="24" t="n">
        <f aca="false">IF(AND(ISNUMBER(B38),ISNUMBER(D38)),B38*D38,0)</f>
        <v>413.4</v>
      </c>
    </row>
    <row r="39" customFormat="false" ht="15" hidden="false" customHeight="false" outlineLevel="0" collapsed="false">
      <c r="A39" s="19" t="s">
        <v>17</v>
      </c>
      <c r="B39" s="22" t="n">
        <v>390</v>
      </c>
      <c r="C39" s="19" t="n">
        <v>17</v>
      </c>
      <c r="D39" s="23" t="n">
        <v>1.06</v>
      </c>
      <c r="E39" s="19" t="s">
        <v>145</v>
      </c>
      <c r="F39" s="19" t="s">
        <v>161</v>
      </c>
      <c r="G39" s="19" t="s">
        <v>154</v>
      </c>
      <c r="H39" s="19" t="s">
        <v>15</v>
      </c>
      <c r="I39" s="24" t="n">
        <f aca="false">IF(AND(ISNUMBER(B39),ISNUMBER(D39)),B39*D39,0)</f>
        <v>413.4</v>
      </c>
    </row>
    <row r="40" customFormat="false" ht="15" hidden="false" customHeight="false" outlineLevel="0" collapsed="false">
      <c r="A40" s="19" t="s">
        <v>55</v>
      </c>
      <c r="B40" s="22" t="n">
        <v>390</v>
      </c>
      <c r="C40" s="19" t="n">
        <v>17</v>
      </c>
      <c r="D40" s="23" t="n">
        <v>0.36</v>
      </c>
      <c r="E40" s="19" t="s">
        <v>145</v>
      </c>
      <c r="F40" s="19" t="s">
        <v>136</v>
      </c>
      <c r="G40" s="19" t="s">
        <v>154</v>
      </c>
      <c r="H40" s="19" t="s">
        <v>53</v>
      </c>
      <c r="I40" s="24" t="n">
        <f aca="false">IF(AND(ISNUMBER(B40),ISNUMBER(D40)),B40*D40,0)</f>
        <v>140.4</v>
      </c>
    </row>
    <row r="41" customFormat="false" ht="15" hidden="false" customHeight="false" outlineLevel="0" collapsed="false">
      <c r="A41" s="19" t="s">
        <v>84</v>
      </c>
      <c r="B41" s="22" t="n">
        <v>390</v>
      </c>
      <c r="C41" s="19" t="n">
        <v>15</v>
      </c>
      <c r="D41" s="23" t="n">
        <v>0.22</v>
      </c>
      <c r="E41" s="19" t="s">
        <v>145</v>
      </c>
      <c r="F41" s="19" t="s">
        <v>153</v>
      </c>
      <c r="G41" s="19" t="s">
        <v>154</v>
      </c>
      <c r="H41" s="19" t="s">
        <v>82</v>
      </c>
      <c r="I41" s="24" t="n">
        <f aca="false">IF(AND(ISNUMBER(B41),ISNUMBER(D41)),B41*D41,0)</f>
        <v>85.8</v>
      </c>
    </row>
    <row r="42" customFormat="false" ht="15" hidden="false" customHeight="false" outlineLevel="0" collapsed="false">
      <c r="A42" s="19" t="s">
        <v>171</v>
      </c>
      <c r="B42" s="22" t="n">
        <v>320</v>
      </c>
      <c r="C42" s="19" t="n">
        <v>27</v>
      </c>
      <c r="D42" s="23" t="n">
        <v>0.36</v>
      </c>
      <c r="E42" s="19" t="s">
        <v>145</v>
      </c>
      <c r="F42" s="19" t="s">
        <v>151</v>
      </c>
      <c r="G42" s="19" t="s">
        <v>154</v>
      </c>
      <c r="H42" s="19"/>
      <c r="I42" s="24" t="n">
        <f aca="false">IF(AND(ISNUMBER(B42),ISNUMBER(D42)),B42*D42,0)</f>
        <v>115.2</v>
      </c>
    </row>
    <row r="43" customFormat="false" ht="15" hidden="false" customHeight="false" outlineLevel="0" collapsed="false">
      <c r="A43" s="19" t="s">
        <v>172</v>
      </c>
      <c r="B43" s="22" t="n">
        <v>320</v>
      </c>
      <c r="C43" s="19" t="n">
        <v>28</v>
      </c>
      <c r="D43" s="23" t="n">
        <v>1.9</v>
      </c>
      <c r="E43" s="19" t="s">
        <v>135</v>
      </c>
      <c r="F43" s="19" t="s">
        <v>151</v>
      </c>
      <c r="G43" s="19" t="s">
        <v>154</v>
      </c>
      <c r="H43" s="19"/>
      <c r="I43" s="24" t="n">
        <f aca="false">IF(AND(ISNUMBER(B43),ISNUMBER(D43)),B43*D43,0)</f>
        <v>608</v>
      </c>
    </row>
    <row r="44" customFormat="false" ht="15" hidden="false" customHeight="false" outlineLevel="0" collapsed="false">
      <c r="A44" s="19" t="s">
        <v>173</v>
      </c>
      <c r="B44" s="22" t="n">
        <v>320</v>
      </c>
      <c r="C44" s="19" t="n">
        <v>10</v>
      </c>
      <c r="D44" s="23" t="n">
        <v>0.79</v>
      </c>
      <c r="E44" s="19" t="s">
        <v>135</v>
      </c>
      <c r="F44" s="19" t="s">
        <v>161</v>
      </c>
      <c r="G44" s="19" t="s">
        <v>154</v>
      </c>
      <c r="H44" s="19" t="s">
        <v>15</v>
      </c>
      <c r="I44" s="24" t="n">
        <f aca="false">IF(AND(ISNUMBER(B44),ISNUMBER(D44)),B44*D44,0)</f>
        <v>252.8</v>
      </c>
    </row>
    <row r="45" customFormat="false" ht="15" hidden="false" customHeight="false" outlineLevel="0" collapsed="false">
      <c r="A45" s="19" t="s">
        <v>174</v>
      </c>
      <c r="B45" s="22" t="n">
        <v>320</v>
      </c>
      <c r="C45" s="19" t="n">
        <v>13</v>
      </c>
      <c r="D45" s="23" t="n">
        <v>0.46</v>
      </c>
      <c r="E45" s="19" t="s">
        <v>175</v>
      </c>
      <c r="F45" s="19" t="s">
        <v>161</v>
      </c>
      <c r="G45" s="19" t="s">
        <v>154</v>
      </c>
      <c r="H45" s="19" t="s">
        <v>44</v>
      </c>
      <c r="I45" s="24" t="n">
        <f aca="false">IF(AND(ISNUMBER(B45),ISNUMBER(D45)),B45*D45,0)</f>
        <v>147.2</v>
      </c>
    </row>
    <row r="46" customFormat="false" ht="15" hidden="false" customHeight="false" outlineLevel="0" collapsed="false">
      <c r="A46" s="19" t="s">
        <v>176</v>
      </c>
      <c r="B46" s="22" t="n">
        <v>320</v>
      </c>
      <c r="C46" s="19" t="n">
        <v>5</v>
      </c>
      <c r="D46" s="23" t="n">
        <v>0</v>
      </c>
      <c r="E46" s="19" t="s">
        <v>145</v>
      </c>
      <c r="F46" s="19" t="s">
        <v>136</v>
      </c>
      <c r="G46" s="19" t="s">
        <v>154</v>
      </c>
      <c r="H46" s="19" t="s">
        <v>49</v>
      </c>
      <c r="I46" s="24" t="n">
        <f aca="false">IF(AND(ISNUMBER(B46),ISNUMBER(D46)),B46*D46,0)</f>
        <v>0</v>
      </c>
    </row>
    <row r="47" customFormat="false" ht="15" hidden="false" customHeight="false" outlineLevel="0" collapsed="false">
      <c r="A47" s="19" t="s">
        <v>177</v>
      </c>
      <c r="B47" s="22" t="n">
        <v>320</v>
      </c>
      <c r="C47" s="19" t="n">
        <v>21</v>
      </c>
      <c r="D47" s="23" t="n">
        <v>1.02</v>
      </c>
      <c r="E47" s="19" t="s">
        <v>145</v>
      </c>
      <c r="F47" s="19" t="s">
        <v>153</v>
      </c>
      <c r="G47" s="19" t="s">
        <v>154</v>
      </c>
      <c r="H47" s="19" t="s">
        <v>58</v>
      </c>
      <c r="I47" s="24" t="n">
        <f aca="false">IF(AND(ISNUMBER(B47),ISNUMBER(D47)),B47*D47,0)</f>
        <v>326.4</v>
      </c>
    </row>
    <row r="48" customFormat="false" ht="15" hidden="false" customHeight="false" outlineLevel="0" collapsed="false">
      <c r="A48" s="19" t="s">
        <v>24</v>
      </c>
      <c r="B48" s="22" t="n">
        <v>320</v>
      </c>
      <c r="C48" s="19" t="n">
        <v>12</v>
      </c>
      <c r="D48" s="23" t="n">
        <v>0.6</v>
      </c>
      <c r="E48" s="19" t="s">
        <v>145</v>
      </c>
      <c r="F48" s="19" t="s">
        <v>153</v>
      </c>
      <c r="G48" s="19" t="s">
        <v>154</v>
      </c>
      <c r="H48" s="19" t="s">
        <v>22</v>
      </c>
      <c r="I48" s="24" t="n">
        <f aca="false">IF(AND(ISNUMBER(B48),ISNUMBER(D48)),B48*D48,0)</f>
        <v>192</v>
      </c>
    </row>
    <row r="49" customFormat="false" ht="15" hidden="false" customHeight="false" outlineLevel="0" collapsed="false">
      <c r="A49" s="19" t="s">
        <v>76</v>
      </c>
      <c r="B49" s="22" t="n">
        <v>320</v>
      </c>
      <c r="C49" s="19" t="n">
        <v>19</v>
      </c>
      <c r="D49" s="23" t="n">
        <v>0.82</v>
      </c>
      <c r="E49" s="19" t="s">
        <v>135</v>
      </c>
      <c r="F49" s="19" t="s">
        <v>153</v>
      </c>
      <c r="G49" s="19" t="s">
        <v>154</v>
      </c>
      <c r="H49" s="19" t="s">
        <v>74</v>
      </c>
      <c r="I49" s="24" t="n">
        <f aca="false">IF(AND(ISNUMBER(B49),ISNUMBER(D49)),B49*D49,0)</f>
        <v>262.4</v>
      </c>
    </row>
    <row r="50" customFormat="false" ht="15" hidden="false" customHeight="false" outlineLevel="0" collapsed="false">
      <c r="A50" s="19" t="s">
        <v>68</v>
      </c>
      <c r="B50" s="22" t="n">
        <v>260</v>
      </c>
      <c r="C50" s="19" t="n">
        <v>11</v>
      </c>
      <c r="D50" s="23" t="n">
        <v>1.07</v>
      </c>
      <c r="E50" s="19" t="s">
        <v>145</v>
      </c>
      <c r="F50" s="19" t="s">
        <v>151</v>
      </c>
      <c r="G50" s="19" t="s">
        <v>154</v>
      </c>
      <c r="H50" s="19" t="s">
        <v>66</v>
      </c>
      <c r="I50" s="24" t="n">
        <f aca="false">IF(AND(ISNUMBER(B50),ISNUMBER(D50)),B50*D50,0)</f>
        <v>278.2</v>
      </c>
    </row>
    <row r="51" customFormat="false" ht="15" hidden="false" customHeight="false" outlineLevel="0" collapsed="false">
      <c r="A51" s="19" t="s">
        <v>42</v>
      </c>
      <c r="B51" s="22" t="n">
        <v>260</v>
      </c>
      <c r="C51" s="19" t="n">
        <v>10</v>
      </c>
      <c r="D51" s="23" t="n">
        <v>0.3</v>
      </c>
      <c r="E51" s="19" t="s">
        <v>168</v>
      </c>
      <c r="F51" s="19" t="s">
        <v>140</v>
      </c>
      <c r="G51" s="19" t="s">
        <v>154</v>
      </c>
      <c r="H51" s="19" t="s">
        <v>39</v>
      </c>
      <c r="I51" s="24" t="n">
        <f aca="false">IF(AND(ISNUMBER(B51),ISNUMBER(D51)),B51*D51,0)</f>
        <v>78</v>
      </c>
    </row>
    <row r="52" customFormat="false" ht="15" hidden="false" customHeight="false" outlineLevel="0" collapsed="false">
      <c r="A52" s="19" t="s">
        <v>178</v>
      </c>
      <c r="B52" s="22" t="n">
        <v>260</v>
      </c>
      <c r="C52" s="19" t="n">
        <v>19</v>
      </c>
      <c r="D52" s="23" t="n">
        <v>0.88</v>
      </c>
      <c r="E52" s="19" t="s">
        <v>135</v>
      </c>
      <c r="F52" s="19" t="s">
        <v>161</v>
      </c>
      <c r="G52" s="19" t="s">
        <v>154</v>
      </c>
      <c r="H52" s="19" t="s">
        <v>15</v>
      </c>
      <c r="I52" s="24" t="n">
        <f aca="false">IF(AND(ISNUMBER(B52),ISNUMBER(D52)),B52*D52,0)</f>
        <v>228.8</v>
      </c>
    </row>
    <row r="53" customFormat="false" ht="15" hidden="false" customHeight="false" outlineLevel="0" collapsed="false">
      <c r="A53" s="19" t="s">
        <v>179</v>
      </c>
      <c r="B53" s="22" t="n">
        <v>260</v>
      </c>
      <c r="C53" s="19" t="n">
        <v>18</v>
      </c>
      <c r="D53" s="23" t="n">
        <v>0</v>
      </c>
      <c r="E53" s="19" t="s">
        <v>145</v>
      </c>
      <c r="F53" s="19" t="s">
        <v>140</v>
      </c>
      <c r="G53" s="19" t="s">
        <v>154</v>
      </c>
      <c r="H53" s="19"/>
      <c r="I53" s="24" t="n">
        <f aca="false">IF(AND(ISNUMBER(B53),ISNUMBER(D53)),B53*D53,0)</f>
        <v>0</v>
      </c>
    </row>
    <row r="54" customFormat="false" ht="15" hidden="false" customHeight="false" outlineLevel="0" collapsed="false">
      <c r="A54" s="19" t="s">
        <v>180</v>
      </c>
      <c r="B54" s="22" t="n">
        <v>260</v>
      </c>
      <c r="C54" s="19" t="n">
        <v>9</v>
      </c>
      <c r="D54" s="23" t="n">
        <v>0</v>
      </c>
      <c r="E54" s="19" t="s">
        <v>135</v>
      </c>
      <c r="F54" s="19" t="s">
        <v>136</v>
      </c>
      <c r="G54" s="19" t="s">
        <v>154</v>
      </c>
      <c r="H54" s="19" t="s">
        <v>49</v>
      </c>
      <c r="I54" s="24" t="n">
        <f aca="false">IF(AND(ISNUMBER(B54),ISNUMBER(D54)),B54*D54,0)</f>
        <v>0</v>
      </c>
    </row>
    <row r="55" customFormat="false" ht="15" hidden="false" customHeight="false" outlineLevel="0" collapsed="false">
      <c r="A55" s="19" t="s">
        <v>181</v>
      </c>
      <c r="B55" s="22" t="n">
        <v>260</v>
      </c>
      <c r="C55" s="19" t="n">
        <v>25</v>
      </c>
      <c r="D55" s="23" t="n">
        <v>0.6</v>
      </c>
      <c r="E55" s="19" t="s">
        <v>145</v>
      </c>
      <c r="F55" s="19" t="s">
        <v>136</v>
      </c>
      <c r="G55" s="19" t="s">
        <v>154</v>
      </c>
      <c r="H55" s="19" t="s">
        <v>98</v>
      </c>
      <c r="I55" s="24" t="n">
        <f aca="false">IF(AND(ISNUMBER(B55),ISNUMBER(D55)),B55*D55,0)</f>
        <v>156</v>
      </c>
    </row>
    <row r="56" customFormat="false" ht="15" hidden="false" customHeight="false" outlineLevel="0" collapsed="false">
      <c r="A56" s="19" t="s">
        <v>100</v>
      </c>
      <c r="B56" s="22" t="n">
        <v>260</v>
      </c>
      <c r="C56" s="19" t="n">
        <v>10</v>
      </c>
      <c r="D56" s="23" t="n">
        <v>0.6</v>
      </c>
      <c r="E56" s="19" t="s">
        <v>145</v>
      </c>
      <c r="F56" s="19" t="s">
        <v>136</v>
      </c>
      <c r="G56" s="19" t="s">
        <v>154</v>
      </c>
      <c r="H56" s="19" t="s">
        <v>98</v>
      </c>
      <c r="I56" s="24" t="n">
        <f aca="false">IF(AND(ISNUMBER(B56),ISNUMBER(D56)),B56*D56,0)</f>
        <v>156</v>
      </c>
    </row>
    <row r="57" customFormat="false" ht="15" hidden="false" customHeight="false" outlineLevel="0" collapsed="false">
      <c r="A57" s="19" t="s">
        <v>182</v>
      </c>
      <c r="B57" s="22" t="n">
        <v>260</v>
      </c>
      <c r="C57" s="19" t="n">
        <v>36</v>
      </c>
      <c r="D57" s="23" t="n">
        <v>2.04</v>
      </c>
      <c r="E57" s="19" t="s">
        <v>145</v>
      </c>
      <c r="F57" s="19" t="s">
        <v>153</v>
      </c>
      <c r="G57" s="19" t="s">
        <v>154</v>
      </c>
      <c r="H57" s="19" t="s">
        <v>78</v>
      </c>
      <c r="I57" s="24" t="n">
        <f aca="false">IF(AND(ISNUMBER(B57),ISNUMBER(D57)),B57*D57,0)</f>
        <v>530.4</v>
      </c>
    </row>
    <row r="58" customFormat="false" ht="15" hidden="false" customHeight="false" outlineLevel="0" collapsed="false">
      <c r="A58" s="19" t="s">
        <v>183</v>
      </c>
      <c r="B58" s="22" t="n">
        <v>210</v>
      </c>
      <c r="C58" s="19" t="n">
        <v>17</v>
      </c>
      <c r="D58" s="23" t="n">
        <v>0.99</v>
      </c>
      <c r="E58" s="19" t="s">
        <v>145</v>
      </c>
      <c r="F58" s="19" t="s">
        <v>151</v>
      </c>
      <c r="G58" s="19" t="s">
        <v>154</v>
      </c>
      <c r="H58" s="19" t="s">
        <v>58</v>
      </c>
      <c r="I58" s="24" t="n">
        <f aca="false">IF(AND(ISNUMBER(B58),ISNUMBER(D58)),B58*D58,0)</f>
        <v>207.9</v>
      </c>
    </row>
    <row r="59" customFormat="false" ht="15" hidden="false" customHeight="false" outlineLevel="0" collapsed="false">
      <c r="A59" s="19" t="s">
        <v>69</v>
      </c>
      <c r="B59" s="22" t="n">
        <v>210</v>
      </c>
      <c r="C59" s="19" t="n">
        <v>15</v>
      </c>
      <c r="D59" s="23" t="n">
        <v>0.96</v>
      </c>
      <c r="E59" s="19" t="s">
        <v>145</v>
      </c>
      <c r="F59" s="19" t="s">
        <v>151</v>
      </c>
      <c r="G59" s="19" t="s">
        <v>154</v>
      </c>
      <c r="H59" s="19" t="s">
        <v>66</v>
      </c>
      <c r="I59" s="24" t="n">
        <f aca="false">IF(AND(ISNUMBER(B59),ISNUMBER(D59)),B59*D59,0)</f>
        <v>201.6</v>
      </c>
    </row>
    <row r="60" customFormat="false" ht="15" hidden="false" customHeight="false" outlineLevel="0" collapsed="false">
      <c r="A60" s="19" t="s">
        <v>184</v>
      </c>
      <c r="B60" s="22" t="n">
        <v>210</v>
      </c>
      <c r="C60" s="19" t="n">
        <v>27</v>
      </c>
      <c r="D60" s="23" t="n">
        <v>0.78</v>
      </c>
      <c r="E60" s="19" t="s">
        <v>185</v>
      </c>
      <c r="F60" s="19" t="s">
        <v>140</v>
      </c>
      <c r="G60" s="19" t="s">
        <v>154</v>
      </c>
      <c r="H60" s="19" t="s">
        <v>62</v>
      </c>
      <c r="I60" s="24" t="n">
        <f aca="false">IF(AND(ISNUMBER(B60),ISNUMBER(D60)),B60*D60,0)</f>
        <v>163.8</v>
      </c>
    </row>
    <row r="61" customFormat="false" ht="15" hidden="false" customHeight="false" outlineLevel="0" collapsed="false">
      <c r="A61" s="19" t="s">
        <v>73</v>
      </c>
      <c r="B61" s="22" t="n">
        <v>210</v>
      </c>
      <c r="C61" s="19" t="n">
        <v>24</v>
      </c>
      <c r="D61" s="23" t="n">
        <v>0</v>
      </c>
      <c r="E61" s="19" t="s">
        <v>135</v>
      </c>
      <c r="F61" s="19" t="s">
        <v>161</v>
      </c>
      <c r="G61" s="19" t="s">
        <v>154</v>
      </c>
      <c r="H61" s="19" t="s">
        <v>70</v>
      </c>
      <c r="I61" s="24" t="n">
        <f aca="false">IF(AND(ISNUMBER(B61),ISNUMBER(D61)),B61*D61,0)</f>
        <v>0</v>
      </c>
    </row>
    <row r="62" customFormat="false" ht="15" hidden="false" customHeight="false" outlineLevel="0" collapsed="false">
      <c r="A62" s="19" t="s">
        <v>186</v>
      </c>
      <c r="B62" s="22" t="n">
        <v>210</v>
      </c>
      <c r="C62" s="19" t="n">
        <v>16</v>
      </c>
      <c r="D62" s="23" t="n">
        <v>0.87</v>
      </c>
      <c r="E62" s="19" t="s">
        <v>145</v>
      </c>
      <c r="F62" s="19" t="s">
        <v>153</v>
      </c>
      <c r="G62" s="19" t="s">
        <v>154</v>
      </c>
      <c r="H62" s="19" t="s">
        <v>78</v>
      </c>
      <c r="I62" s="24" t="n">
        <f aca="false">IF(AND(ISNUMBER(B62),ISNUMBER(D62)),B62*D62,0)</f>
        <v>182.7</v>
      </c>
    </row>
    <row r="63" customFormat="false" ht="15" hidden="false" customHeight="false" outlineLevel="0" collapsed="false">
      <c r="A63" s="19" t="s">
        <v>187</v>
      </c>
      <c r="B63" s="22" t="n">
        <v>170</v>
      </c>
      <c r="C63" s="19" t="n">
        <v>17</v>
      </c>
      <c r="D63" s="23" t="n">
        <v>0.93</v>
      </c>
      <c r="E63" s="19" t="s">
        <v>145</v>
      </c>
      <c r="F63" s="19" t="s">
        <v>151</v>
      </c>
      <c r="G63" s="19" t="s">
        <v>154</v>
      </c>
      <c r="H63" s="19" t="s">
        <v>58</v>
      </c>
      <c r="I63" s="24" t="n">
        <f aca="false">IF(AND(ISNUMBER(B63),ISNUMBER(D63)),B63*D63,0)</f>
        <v>158.1</v>
      </c>
    </row>
    <row r="64" customFormat="false" ht="15" hidden="false" customHeight="false" outlineLevel="0" collapsed="false">
      <c r="A64" s="19" t="s">
        <v>188</v>
      </c>
      <c r="B64" s="22" t="n">
        <v>170</v>
      </c>
      <c r="C64" s="19" t="n">
        <v>23</v>
      </c>
      <c r="D64" s="23" t="n">
        <v>1.77</v>
      </c>
      <c r="E64" s="19" t="s">
        <v>135</v>
      </c>
      <c r="F64" s="19" t="s">
        <v>151</v>
      </c>
      <c r="G64" s="19" t="s">
        <v>154</v>
      </c>
      <c r="H64" s="19"/>
      <c r="I64" s="24" t="n">
        <f aca="false">IF(AND(ISNUMBER(B64),ISNUMBER(D64)),B64*D64,0)</f>
        <v>300.9</v>
      </c>
    </row>
    <row r="65" customFormat="false" ht="15" hidden="false" customHeight="false" outlineLevel="0" collapsed="false">
      <c r="A65" s="19" t="s">
        <v>189</v>
      </c>
      <c r="B65" s="22" t="n">
        <v>170</v>
      </c>
      <c r="C65" s="19" t="n">
        <v>29</v>
      </c>
      <c r="D65" s="23" t="n">
        <v>1.77</v>
      </c>
      <c r="E65" s="19" t="s">
        <v>145</v>
      </c>
      <c r="F65" s="19" t="s">
        <v>161</v>
      </c>
      <c r="G65" s="19" t="s">
        <v>154</v>
      </c>
      <c r="H65" s="19" t="s">
        <v>15</v>
      </c>
      <c r="I65" s="24" t="n">
        <f aca="false">IF(AND(ISNUMBER(B65),ISNUMBER(D65)),B65*D65,0)</f>
        <v>300.9</v>
      </c>
    </row>
    <row r="66" customFormat="false" ht="15" hidden="false" customHeight="false" outlineLevel="0" collapsed="false">
      <c r="A66" s="19" t="s">
        <v>190</v>
      </c>
      <c r="B66" s="22" t="n">
        <v>170</v>
      </c>
      <c r="C66" s="19" t="n">
        <v>16</v>
      </c>
      <c r="D66" s="23" t="n">
        <v>0.55</v>
      </c>
      <c r="E66" s="19" t="s">
        <v>135</v>
      </c>
      <c r="F66" s="19" t="s">
        <v>153</v>
      </c>
      <c r="G66" s="19" t="s">
        <v>154</v>
      </c>
      <c r="H66" s="19" t="s">
        <v>44</v>
      </c>
      <c r="I66" s="24" t="n">
        <f aca="false">IF(AND(ISNUMBER(B66),ISNUMBER(D66)),B66*D66,0)</f>
        <v>93.5</v>
      </c>
    </row>
    <row r="67" customFormat="false" ht="15" hidden="false" customHeight="false" outlineLevel="0" collapsed="false">
      <c r="A67" s="19" t="s">
        <v>191</v>
      </c>
      <c r="B67" s="22" t="n">
        <v>170</v>
      </c>
      <c r="C67" s="19" t="n">
        <v>10</v>
      </c>
      <c r="D67" s="23" t="n">
        <v>0</v>
      </c>
      <c r="E67" s="19" t="s">
        <v>135</v>
      </c>
      <c r="F67" s="19" t="s">
        <v>153</v>
      </c>
      <c r="G67" s="19" t="s">
        <v>154</v>
      </c>
      <c r="H67" s="19" t="s">
        <v>34</v>
      </c>
      <c r="I67" s="24" t="n">
        <f aca="false">IF(AND(ISNUMBER(B67),ISNUMBER(D67)),B67*D67,0)</f>
        <v>0</v>
      </c>
    </row>
    <row r="68" customFormat="false" ht="15" hidden="false" customHeight="false" outlineLevel="0" collapsed="false">
      <c r="A68" s="19" t="s">
        <v>41</v>
      </c>
      <c r="B68" s="22" t="n">
        <v>170</v>
      </c>
      <c r="C68" s="19" t="n">
        <v>6</v>
      </c>
      <c r="D68" s="23" t="n">
        <v>0.28</v>
      </c>
      <c r="E68" s="19" t="s">
        <v>145</v>
      </c>
      <c r="F68" s="19" t="s">
        <v>153</v>
      </c>
      <c r="G68" s="19" t="s">
        <v>154</v>
      </c>
      <c r="H68" s="19" t="s">
        <v>39</v>
      </c>
      <c r="I68" s="24" t="n">
        <f aca="false">IF(AND(ISNUMBER(B68),ISNUMBER(D68)),B68*D68,0)</f>
        <v>47.6</v>
      </c>
    </row>
    <row r="69" customFormat="false" ht="15" hidden="false" customHeight="false" outlineLevel="0" collapsed="false">
      <c r="A69" s="19" t="s">
        <v>192</v>
      </c>
      <c r="B69" s="22" t="n">
        <v>140</v>
      </c>
      <c r="C69" s="19" t="n">
        <v>23</v>
      </c>
      <c r="D69" s="23" t="n">
        <v>1.43</v>
      </c>
      <c r="E69" s="19" t="s">
        <v>157</v>
      </c>
      <c r="F69" s="19" t="s">
        <v>151</v>
      </c>
      <c r="G69" s="19" t="s">
        <v>154</v>
      </c>
      <c r="H69" s="19" t="s">
        <v>58</v>
      </c>
      <c r="I69" s="24" t="n">
        <f aca="false">IF(AND(ISNUMBER(B69),ISNUMBER(D69)),B69*D69,0)</f>
        <v>200.2</v>
      </c>
    </row>
    <row r="70" customFormat="false" ht="15" hidden="false" customHeight="false" outlineLevel="0" collapsed="false">
      <c r="A70" s="19" t="s">
        <v>193</v>
      </c>
      <c r="B70" s="22" t="n">
        <v>140</v>
      </c>
      <c r="C70" s="19" t="n">
        <v>23</v>
      </c>
      <c r="D70" s="23" t="n">
        <v>0</v>
      </c>
      <c r="E70" s="19" t="s">
        <v>145</v>
      </c>
      <c r="F70" s="19" t="s">
        <v>140</v>
      </c>
      <c r="G70" s="19" t="s">
        <v>154</v>
      </c>
      <c r="H70" s="19" t="s">
        <v>62</v>
      </c>
      <c r="I70" s="24" t="n">
        <f aca="false">IF(AND(ISNUMBER(B70),ISNUMBER(D70)),B70*D70,0)</f>
        <v>0</v>
      </c>
    </row>
    <row r="71" customFormat="false" ht="15" hidden="false" customHeight="false" outlineLevel="0" collapsed="false">
      <c r="A71" s="19" t="s">
        <v>194</v>
      </c>
      <c r="B71" s="22" t="n">
        <v>140</v>
      </c>
      <c r="C71" s="19" t="n">
        <v>23</v>
      </c>
      <c r="D71" s="23" t="n">
        <v>0.48</v>
      </c>
      <c r="E71" s="19" t="s">
        <v>157</v>
      </c>
      <c r="F71" s="19" t="s">
        <v>140</v>
      </c>
      <c r="G71" s="19" t="s">
        <v>154</v>
      </c>
      <c r="H71" s="19" t="s">
        <v>62</v>
      </c>
      <c r="I71" s="24" t="n">
        <f aca="false">IF(AND(ISNUMBER(B71),ISNUMBER(D71)),B71*D71,0)</f>
        <v>67.2</v>
      </c>
    </row>
    <row r="72" customFormat="false" ht="15" hidden="false" customHeight="false" outlineLevel="0" collapsed="false">
      <c r="A72" s="19" t="s">
        <v>195</v>
      </c>
      <c r="B72" s="22" t="n">
        <v>140</v>
      </c>
      <c r="C72" s="19" t="n">
        <v>20</v>
      </c>
      <c r="D72" s="23" t="n">
        <v>1.15</v>
      </c>
      <c r="E72" s="19" t="s">
        <v>145</v>
      </c>
      <c r="F72" s="19" t="s">
        <v>136</v>
      </c>
      <c r="G72" s="19" t="s">
        <v>154</v>
      </c>
      <c r="H72" s="19"/>
      <c r="I72" s="24" t="n">
        <f aca="false">IF(AND(ISNUMBER(B72),ISNUMBER(D72)),B72*D72,0)</f>
        <v>161</v>
      </c>
    </row>
    <row r="73" customFormat="false" ht="15" hidden="false" customHeight="false" outlineLevel="0" collapsed="false">
      <c r="A73" s="19" t="s">
        <v>56</v>
      </c>
      <c r="B73" s="22" t="n">
        <v>140</v>
      </c>
      <c r="C73" s="19" t="n">
        <v>14</v>
      </c>
      <c r="D73" s="23" t="n">
        <v>0</v>
      </c>
      <c r="E73" s="19"/>
      <c r="F73" s="19" t="s">
        <v>136</v>
      </c>
      <c r="G73" s="19" t="s">
        <v>154</v>
      </c>
      <c r="H73" s="19" t="s">
        <v>53</v>
      </c>
      <c r="I73" s="24" t="n">
        <f aca="false">IF(AND(ISNUMBER(B73),ISNUMBER(D73)),B73*D73,0)</f>
        <v>0</v>
      </c>
    </row>
    <row r="74" customFormat="false" ht="15" hidden="false" customHeight="false" outlineLevel="0" collapsed="false">
      <c r="A74" s="19" t="s">
        <v>196</v>
      </c>
      <c r="B74" s="22" t="n">
        <v>140</v>
      </c>
      <c r="C74" s="19" t="n">
        <v>9</v>
      </c>
      <c r="D74" s="23" t="n">
        <v>0</v>
      </c>
      <c r="E74" s="19" t="s">
        <v>135</v>
      </c>
      <c r="F74" s="19" t="s">
        <v>136</v>
      </c>
      <c r="G74" s="19" t="s">
        <v>154</v>
      </c>
      <c r="H74" s="19" t="s">
        <v>49</v>
      </c>
      <c r="I74" s="24" t="n">
        <f aca="false">IF(AND(ISNUMBER(B74),ISNUMBER(D74)),B74*D74,0)</f>
        <v>0</v>
      </c>
    </row>
    <row r="75" customFormat="false" ht="15" hidden="false" customHeight="false" outlineLevel="0" collapsed="false">
      <c r="A75" s="19" t="s">
        <v>197</v>
      </c>
      <c r="B75" s="22" t="n">
        <v>110</v>
      </c>
      <c r="C75" s="19" t="n">
        <v>15</v>
      </c>
      <c r="D75" s="23" t="n">
        <v>0.88</v>
      </c>
      <c r="E75" s="19" t="s">
        <v>135</v>
      </c>
      <c r="F75" s="19" t="s">
        <v>151</v>
      </c>
      <c r="G75" s="19" t="s">
        <v>154</v>
      </c>
      <c r="H75" s="19"/>
      <c r="I75" s="24" t="n">
        <f aca="false">IF(AND(ISNUMBER(B75),ISNUMBER(D75)),B75*D75,0)</f>
        <v>96.8</v>
      </c>
    </row>
    <row r="76" customFormat="false" ht="15" hidden="false" customHeight="false" outlineLevel="0" collapsed="false">
      <c r="A76" s="19" t="s">
        <v>198</v>
      </c>
      <c r="B76" s="22" t="n">
        <v>110</v>
      </c>
      <c r="C76" s="19" t="n">
        <v>19</v>
      </c>
      <c r="D76" s="23" t="n">
        <v>0.52</v>
      </c>
      <c r="E76" s="19" t="s">
        <v>175</v>
      </c>
      <c r="F76" s="19" t="s">
        <v>151</v>
      </c>
      <c r="G76" s="19" t="s">
        <v>154</v>
      </c>
      <c r="H76" s="19" t="s">
        <v>58</v>
      </c>
      <c r="I76" s="24" t="n">
        <f aca="false">IF(AND(ISNUMBER(B76),ISNUMBER(D76)),B76*D76,0)</f>
        <v>57.2</v>
      </c>
    </row>
    <row r="77" customFormat="false" ht="15" hidden="false" customHeight="false" outlineLevel="0" collapsed="false">
      <c r="A77" s="19" t="s">
        <v>199</v>
      </c>
      <c r="B77" s="22" t="n">
        <v>110</v>
      </c>
      <c r="C77" s="19" t="n">
        <v>29</v>
      </c>
      <c r="D77" s="23" t="n">
        <v>0</v>
      </c>
      <c r="E77" s="19" t="s">
        <v>135</v>
      </c>
      <c r="F77" s="19" t="s">
        <v>151</v>
      </c>
      <c r="G77" s="19" t="s">
        <v>154</v>
      </c>
      <c r="H77" s="19"/>
      <c r="I77" s="24" t="n">
        <f aca="false">IF(AND(ISNUMBER(B77),ISNUMBER(D77)),B77*D77,0)</f>
        <v>0</v>
      </c>
    </row>
    <row r="78" customFormat="false" ht="15" hidden="false" customHeight="false" outlineLevel="0" collapsed="false">
      <c r="A78" s="19" t="s">
        <v>200</v>
      </c>
      <c r="B78" s="22" t="n">
        <v>110</v>
      </c>
      <c r="C78" s="19" t="n">
        <v>27</v>
      </c>
      <c r="D78" s="23" t="n">
        <v>0</v>
      </c>
      <c r="E78" s="19" t="s">
        <v>175</v>
      </c>
      <c r="F78" s="19" t="s">
        <v>151</v>
      </c>
      <c r="G78" s="19" t="s">
        <v>154</v>
      </c>
      <c r="H78" s="19"/>
      <c r="I78" s="24" t="n">
        <f aca="false">IF(AND(ISNUMBER(B78),ISNUMBER(D78)),B78*D78,0)</f>
        <v>0</v>
      </c>
    </row>
    <row r="79" customFormat="false" ht="15" hidden="false" customHeight="false" outlineLevel="0" collapsed="false">
      <c r="A79" s="19" t="s">
        <v>201</v>
      </c>
      <c r="B79" s="22" t="n">
        <v>110</v>
      </c>
      <c r="C79" s="19" t="n">
        <v>26</v>
      </c>
      <c r="D79" s="23" t="n">
        <v>0</v>
      </c>
      <c r="E79" s="19" t="s">
        <v>202</v>
      </c>
      <c r="F79" s="19" t="s">
        <v>151</v>
      </c>
      <c r="G79" s="19" t="s">
        <v>154</v>
      </c>
      <c r="H79" s="19"/>
      <c r="I79" s="24" t="n">
        <f aca="false">IF(AND(ISNUMBER(B79),ISNUMBER(D79)),B79*D79,0)</f>
        <v>0</v>
      </c>
    </row>
    <row r="80" customFormat="false" ht="15" hidden="false" customHeight="false" outlineLevel="0" collapsed="false">
      <c r="A80" s="19" t="s">
        <v>203</v>
      </c>
      <c r="B80" s="22" t="n">
        <v>110</v>
      </c>
      <c r="C80" s="19" t="n">
        <v>28</v>
      </c>
      <c r="D80" s="23" t="n">
        <v>0</v>
      </c>
      <c r="E80" s="19" t="s">
        <v>145</v>
      </c>
      <c r="F80" s="19" t="s">
        <v>151</v>
      </c>
      <c r="G80" s="19" t="s">
        <v>154</v>
      </c>
      <c r="H80" s="19"/>
      <c r="I80" s="24" t="n">
        <f aca="false">IF(AND(ISNUMBER(B80),ISNUMBER(D80)),B80*D80,0)</f>
        <v>0</v>
      </c>
    </row>
    <row r="81" customFormat="false" ht="15" hidden="false" customHeight="false" outlineLevel="0" collapsed="false">
      <c r="A81" s="19" t="s">
        <v>204</v>
      </c>
      <c r="B81" s="22" t="n">
        <v>110</v>
      </c>
      <c r="C81" s="19" t="n">
        <v>29</v>
      </c>
      <c r="D81" s="23" t="n">
        <v>0</v>
      </c>
      <c r="E81" s="19" t="s">
        <v>166</v>
      </c>
      <c r="F81" s="19" t="s">
        <v>151</v>
      </c>
      <c r="G81" s="19" t="s">
        <v>154</v>
      </c>
      <c r="H81" s="19"/>
      <c r="I81" s="24" t="n">
        <f aca="false">IF(AND(ISNUMBER(B81),ISNUMBER(D81)),B81*D81,0)</f>
        <v>0</v>
      </c>
    </row>
    <row r="82" customFormat="false" ht="15" hidden="false" customHeight="false" outlineLevel="0" collapsed="false">
      <c r="A82" s="19" t="s">
        <v>113</v>
      </c>
      <c r="B82" s="22" t="n">
        <v>110</v>
      </c>
      <c r="C82" s="19" t="n">
        <v>29</v>
      </c>
      <c r="D82" s="23" t="n">
        <v>0</v>
      </c>
      <c r="E82" s="19" t="s">
        <v>157</v>
      </c>
      <c r="F82" s="19" t="s">
        <v>140</v>
      </c>
      <c r="G82" s="19" t="s">
        <v>154</v>
      </c>
      <c r="H82" s="19" t="s">
        <v>110</v>
      </c>
      <c r="I82" s="24" t="n">
        <f aca="false">IF(AND(ISNUMBER(B82),ISNUMBER(D82)),B82*D82,0)</f>
        <v>0</v>
      </c>
    </row>
    <row r="83" customFormat="false" ht="15" hidden="false" customHeight="false" outlineLevel="0" collapsed="false">
      <c r="A83" s="19" t="s">
        <v>205</v>
      </c>
      <c r="B83" s="22" t="n">
        <v>110</v>
      </c>
      <c r="C83" s="19" t="n">
        <v>24</v>
      </c>
      <c r="D83" s="23" t="n">
        <v>0.88</v>
      </c>
      <c r="E83" s="19" t="s">
        <v>135</v>
      </c>
      <c r="F83" s="19" t="s">
        <v>140</v>
      </c>
      <c r="G83" s="19" t="s">
        <v>154</v>
      </c>
      <c r="H83" s="19"/>
      <c r="I83" s="24" t="n">
        <f aca="false">IF(AND(ISNUMBER(B83),ISNUMBER(D83)),B83*D83,0)</f>
        <v>96.8</v>
      </c>
    </row>
    <row r="84" customFormat="false" ht="15" hidden="false" customHeight="false" outlineLevel="0" collapsed="false">
      <c r="A84" s="19" t="s">
        <v>206</v>
      </c>
      <c r="B84" s="22" t="n">
        <v>110</v>
      </c>
      <c r="C84" s="19" t="n">
        <v>11</v>
      </c>
      <c r="D84" s="23" t="n">
        <v>0</v>
      </c>
      <c r="E84" s="19" t="s">
        <v>135</v>
      </c>
      <c r="F84" s="19" t="s">
        <v>136</v>
      </c>
      <c r="G84" s="19" t="s">
        <v>154</v>
      </c>
      <c r="H84" s="19"/>
      <c r="I84" s="24" t="n">
        <f aca="false">IF(AND(ISNUMBER(B84),ISNUMBER(D84)),B84*D84,0)</f>
        <v>0</v>
      </c>
    </row>
    <row r="85" customFormat="false" ht="15" hidden="false" customHeight="false" outlineLevel="0" collapsed="false">
      <c r="A85" s="19" t="s">
        <v>207</v>
      </c>
      <c r="B85" s="22" t="n">
        <v>50</v>
      </c>
      <c r="C85" s="19" t="n">
        <v>17</v>
      </c>
      <c r="D85" s="23" t="n">
        <v>0.62</v>
      </c>
      <c r="E85" s="19" t="s">
        <v>145</v>
      </c>
      <c r="F85" s="19" t="s">
        <v>151</v>
      </c>
      <c r="G85" s="19" t="s">
        <v>154</v>
      </c>
      <c r="H85" s="19"/>
      <c r="I85" s="24" t="n">
        <f aca="false">IF(AND(ISNUMBER(B85),ISNUMBER(D85)),B85*D85,0)</f>
        <v>31</v>
      </c>
    </row>
    <row r="86" customFormat="false" ht="15" hidden="false" customHeight="false" outlineLevel="0" collapsed="false">
      <c r="A86" s="19" t="s">
        <v>208</v>
      </c>
      <c r="B86" s="22" t="n">
        <v>40</v>
      </c>
      <c r="C86" s="19" t="n">
        <v>21</v>
      </c>
      <c r="D86" s="23" t="n">
        <v>0</v>
      </c>
      <c r="E86" s="19" t="s">
        <v>209</v>
      </c>
      <c r="F86" s="19" t="s">
        <v>151</v>
      </c>
      <c r="G86" s="19" t="s">
        <v>154</v>
      </c>
      <c r="H86" s="19"/>
      <c r="I86" s="24" t="n">
        <f aca="false">IF(AND(ISNUMBER(B86),ISNUMBER(D86)),B86*D86,0)</f>
        <v>0</v>
      </c>
    </row>
    <row r="87" customFormat="false" ht="15" hidden="false" customHeight="false" outlineLevel="0" collapsed="false">
      <c r="A87" s="19" t="s">
        <v>210</v>
      </c>
      <c r="B87" s="22" t="n">
        <v>40</v>
      </c>
      <c r="C87" s="19" t="n">
        <v>14</v>
      </c>
      <c r="D87" s="23" t="n">
        <v>0.91</v>
      </c>
      <c r="E87" s="19" t="s">
        <v>135</v>
      </c>
      <c r="F87" s="19" t="s">
        <v>153</v>
      </c>
      <c r="G87" s="19" t="s">
        <v>154</v>
      </c>
      <c r="H87" s="19" t="s">
        <v>49</v>
      </c>
      <c r="I87" s="24" t="n">
        <f aca="false">IF(AND(ISNUMBER(B87),ISNUMBER(D87)),B87*D87,0)</f>
        <v>36.4</v>
      </c>
    </row>
    <row r="88" customFormat="false" ht="15" hidden="false" customHeight="false" outlineLevel="0" collapsed="false">
      <c r="A88" s="19" t="s">
        <v>211</v>
      </c>
      <c r="B88" s="22" t="n">
        <v>30</v>
      </c>
      <c r="C88" s="19" t="n">
        <v>19</v>
      </c>
      <c r="D88" s="23" t="n">
        <v>0</v>
      </c>
      <c r="E88" s="19" t="s">
        <v>166</v>
      </c>
      <c r="F88" s="19" t="s">
        <v>151</v>
      </c>
      <c r="G88" s="19" t="s">
        <v>154</v>
      </c>
      <c r="H88" s="19"/>
      <c r="I88" s="24" t="n">
        <f aca="false">IF(AND(ISNUMBER(B88),ISNUMBER(D88)),B88*D88,0)</f>
        <v>0</v>
      </c>
    </row>
    <row r="89" customFormat="false" ht="15" hidden="false" customHeight="false" outlineLevel="0" collapsed="false">
      <c r="A89" s="19" t="s">
        <v>212</v>
      </c>
      <c r="B89" s="22" t="n">
        <v>30</v>
      </c>
      <c r="C89" s="19" t="n">
        <v>21</v>
      </c>
      <c r="D89" s="23" t="n">
        <v>0</v>
      </c>
      <c r="E89" s="19" t="s">
        <v>202</v>
      </c>
      <c r="F89" s="19" t="s">
        <v>151</v>
      </c>
      <c r="G89" s="19" t="s">
        <v>154</v>
      </c>
      <c r="H89" s="19"/>
      <c r="I89" s="24" t="n">
        <f aca="false">IF(AND(ISNUMBER(B89),ISNUMBER(D89)),B89*D89,0)</f>
        <v>0</v>
      </c>
    </row>
    <row r="90" customFormat="false" ht="15" hidden="false" customHeight="false" outlineLevel="0" collapsed="false">
      <c r="A90" s="19" t="s">
        <v>213</v>
      </c>
      <c r="B90" s="22" t="n">
        <v>30</v>
      </c>
      <c r="C90" s="19" t="n">
        <v>17</v>
      </c>
      <c r="D90" s="23" t="n">
        <v>0</v>
      </c>
      <c r="E90" s="19" t="s">
        <v>145</v>
      </c>
      <c r="F90" s="19" t="s">
        <v>151</v>
      </c>
      <c r="G90" s="19" t="s">
        <v>154</v>
      </c>
      <c r="H90" s="19"/>
      <c r="I90" s="24" t="n">
        <f aca="false">IF(AND(ISNUMBER(B90),ISNUMBER(D90)),B90*D90,0)</f>
        <v>0</v>
      </c>
    </row>
    <row r="91" customFormat="false" ht="15" hidden="false" customHeight="false" outlineLevel="0" collapsed="false">
      <c r="A91" s="19" t="s">
        <v>214</v>
      </c>
      <c r="B91" s="22" t="n">
        <v>30</v>
      </c>
      <c r="C91" s="19" t="n">
        <v>25</v>
      </c>
      <c r="D91" s="23" t="n">
        <v>0</v>
      </c>
      <c r="E91" s="19" t="s">
        <v>166</v>
      </c>
      <c r="F91" s="19" t="s">
        <v>151</v>
      </c>
      <c r="G91" s="19" t="s">
        <v>154</v>
      </c>
      <c r="H91" s="19"/>
      <c r="I91" s="24" t="n">
        <f aca="false">IF(AND(ISNUMBER(B91),ISNUMBER(D91)),B91*D91,0)</f>
        <v>0</v>
      </c>
    </row>
    <row r="92" customFormat="false" ht="15" hidden="false" customHeight="false" outlineLevel="0" collapsed="false">
      <c r="A92" s="19" t="s">
        <v>215</v>
      </c>
      <c r="B92" s="22" t="n">
        <v>30</v>
      </c>
      <c r="C92" s="19" t="n">
        <v>25</v>
      </c>
      <c r="D92" s="23" t="n">
        <v>0</v>
      </c>
      <c r="E92" s="19" t="s">
        <v>166</v>
      </c>
      <c r="F92" s="19" t="s">
        <v>151</v>
      </c>
      <c r="G92" s="19" t="s">
        <v>154</v>
      </c>
      <c r="H92" s="19"/>
      <c r="I92" s="24" t="n">
        <f aca="false">IF(AND(ISNUMBER(B92),ISNUMBER(D92)),B92*D92,0)</f>
        <v>0</v>
      </c>
    </row>
    <row r="93" customFormat="false" ht="15" hidden="false" customHeight="false" outlineLevel="0" collapsed="false">
      <c r="A93" s="19" t="s">
        <v>216</v>
      </c>
      <c r="B93" s="22" t="n">
        <v>30</v>
      </c>
      <c r="C93" s="19" t="n">
        <v>8</v>
      </c>
      <c r="D93" s="23" t="n">
        <v>0.18</v>
      </c>
      <c r="E93" s="19" t="s">
        <v>145</v>
      </c>
      <c r="F93" s="19" t="s">
        <v>153</v>
      </c>
      <c r="G93" s="19" t="s">
        <v>154</v>
      </c>
      <c r="H93" s="19" t="s">
        <v>82</v>
      </c>
      <c r="I93" s="24" t="n">
        <f aca="false">IF(AND(ISNUMBER(B93),ISNUMBER(D93)),B93*D93,0)</f>
        <v>5.4</v>
      </c>
    </row>
    <row r="94" customFormat="false" ht="15" hidden="false" customHeight="false" outlineLevel="0" collapsed="false">
      <c r="A94" s="19" t="s">
        <v>217</v>
      </c>
      <c r="B94" s="22" t="n">
        <v>20</v>
      </c>
      <c r="C94" s="19" t="n">
        <v>13</v>
      </c>
      <c r="D94" s="23" t="n">
        <v>0.48</v>
      </c>
      <c r="E94" s="19" t="s">
        <v>135</v>
      </c>
      <c r="F94" s="19" t="s">
        <v>151</v>
      </c>
      <c r="G94" s="19" t="s">
        <v>154</v>
      </c>
      <c r="H94" s="19"/>
      <c r="I94" s="24" t="n">
        <f aca="false">IF(AND(ISNUMBER(B94),ISNUMBER(D94)),B94*D94,0)</f>
        <v>9.6</v>
      </c>
    </row>
    <row r="95" customFormat="false" ht="15" hidden="false" customHeight="false" outlineLevel="0" collapsed="false">
      <c r="A95" s="19" t="s">
        <v>218</v>
      </c>
      <c r="B95" s="22" t="n">
        <v>20</v>
      </c>
      <c r="C95" s="19" t="n">
        <v>12</v>
      </c>
      <c r="D95" s="23" t="n">
        <v>0</v>
      </c>
      <c r="E95" s="19" t="s">
        <v>135</v>
      </c>
      <c r="F95" s="19" t="s">
        <v>151</v>
      </c>
      <c r="G95" s="19" t="s">
        <v>154</v>
      </c>
      <c r="H95" s="19"/>
      <c r="I95" s="24" t="n">
        <f aca="false">IF(AND(ISNUMBER(B95),ISNUMBER(D95)),B95*D95,0)</f>
        <v>0</v>
      </c>
    </row>
    <row r="96" customFormat="false" ht="15" hidden="false" customHeight="false" outlineLevel="0" collapsed="false">
      <c r="A96" s="19" t="s">
        <v>219</v>
      </c>
      <c r="B96" s="22" t="n">
        <v>20</v>
      </c>
      <c r="C96" s="19" t="n">
        <v>22</v>
      </c>
      <c r="D96" s="23" t="n">
        <v>0</v>
      </c>
      <c r="E96" s="19" t="s">
        <v>220</v>
      </c>
      <c r="F96" s="19" t="s">
        <v>151</v>
      </c>
      <c r="G96" s="19" t="s">
        <v>154</v>
      </c>
      <c r="H96" s="19"/>
      <c r="I96" s="24" t="n">
        <f aca="false">IF(AND(ISNUMBER(B96),ISNUMBER(D96)),B96*D96,0)</f>
        <v>0</v>
      </c>
    </row>
    <row r="97" customFormat="false" ht="15" hidden="false" customHeight="false" outlineLevel="0" collapsed="false">
      <c r="A97" s="19" t="s">
        <v>221</v>
      </c>
      <c r="B97" s="22" t="n">
        <v>20</v>
      </c>
      <c r="C97" s="19" t="n">
        <v>14</v>
      </c>
      <c r="D97" s="23" t="n">
        <v>0</v>
      </c>
      <c r="E97" s="19" t="s">
        <v>157</v>
      </c>
      <c r="F97" s="19" t="s">
        <v>151</v>
      </c>
      <c r="G97" s="19" t="s">
        <v>154</v>
      </c>
      <c r="H97" s="19"/>
      <c r="I97" s="24" t="n">
        <f aca="false">IF(AND(ISNUMBER(B97),ISNUMBER(D97)),B97*D97,0)</f>
        <v>0</v>
      </c>
    </row>
    <row r="98" customFormat="false" ht="15" hidden="false" customHeight="false" outlineLevel="0" collapsed="false">
      <c r="A98" s="19" t="s">
        <v>222</v>
      </c>
      <c r="B98" s="22" t="n">
        <v>20</v>
      </c>
      <c r="C98" s="19" t="n">
        <v>20</v>
      </c>
      <c r="D98" s="23" t="n">
        <v>0.44</v>
      </c>
      <c r="E98" s="19" t="s">
        <v>145</v>
      </c>
      <c r="F98" s="19" t="s">
        <v>151</v>
      </c>
      <c r="G98" s="19" t="s">
        <v>154</v>
      </c>
      <c r="H98" s="19"/>
      <c r="I98" s="24" t="n">
        <f aca="false">IF(AND(ISNUMBER(B98),ISNUMBER(D98)),B98*D98,0)</f>
        <v>8.8</v>
      </c>
    </row>
    <row r="99" customFormat="false" ht="15" hidden="false" customHeight="false" outlineLevel="0" collapsed="false">
      <c r="A99" s="19" t="s">
        <v>223</v>
      </c>
      <c r="B99" s="22" t="n">
        <v>20</v>
      </c>
      <c r="C99" s="19" t="n">
        <v>24</v>
      </c>
      <c r="D99" s="23" t="n">
        <v>0.25</v>
      </c>
      <c r="E99" s="19" t="s">
        <v>145</v>
      </c>
      <c r="F99" s="19" t="s">
        <v>151</v>
      </c>
      <c r="G99" s="19" t="s">
        <v>154</v>
      </c>
      <c r="H99" s="19"/>
      <c r="I99" s="24" t="n">
        <f aca="false">IF(AND(ISNUMBER(B99),ISNUMBER(D99)),B99*D99,0)</f>
        <v>5</v>
      </c>
    </row>
    <row r="100" customFormat="false" ht="15" hidden="false" customHeight="false" outlineLevel="0" collapsed="false">
      <c r="A100" s="19" t="s">
        <v>224</v>
      </c>
      <c r="B100" s="22" t="n">
        <v>20</v>
      </c>
      <c r="C100" s="19" t="n">
        <v>13</v>
      </c>
      <c r="D100" s="23" t="n">
        <v>0</v>
      </c>
      <c r="E100" s="19" t="s">
        <v>220</v>
      </c>
      <c r="F100" s="19" t="s">
        <v>151</v>
      </c>
      <c r="G100" s="19" t="s">
        <v>154</v>
      </c>
      <c r="H100" s="19"/>
      <c r="I100" s="24" t="n">
        <f aca="false">IF(AND(ISNUMBER(B100),ISNUMBER(D100)),B100*D100,0)</f>
        <v>0</v>
      </c>
    </row>
    <row r="101" customFormat="false" ht="15" hidden="false" customHeight="false" outlineLevel="0" collapsed="false">
      <c r="A101" s="19" t="s">
        <v>225</v>
      </c>
      <c r="B101" s="22" t="n">
        <v>20</v>
      </c>
      <c r="C101" s="19" t="n">
        <v>19</v>
      </c>
      <c r="D101" s="23" t="n">
        <v>0.43</v>
      </c>
      <c r="E101" s="19" t="s">
        <v>202</v>
      </c>
      <c r="F101" s="19" t="s">
        <v>151</v>
      </c>
      <c r="G101" s="19" t="s">
        <v>154</v>
      </c>
      <c r="H101" s="19"/>
      <c r="I101" s="24" t="n">
        <f aca="false">IF(AND(ISNUMBER(B101),ISNUMBER(D101)),B101*D101,0)</f>
        <v>8.6</v>
      </c>
    </row>
    <row r="102" customFormat="false" ht="15" hidden="false" customHeight="false" outlineLevel="0" collapsed="false">
      <c r="A102" s="19" t="s">
        <v>226</v>
      </c>
      <c r="B102" s="22" t="n">
        <v>20</v>
      </c>
      <c r="C102" s="19" t="n">
        <v>19</v>
      </c>
      <c r="D102" s="23" t="n">
        <v>0.45</v>
      </c>
      <c r="E102" s="19" t="s">
        <v>175</v>
      </c>
      <c r="F102" s="19" t="s">
        <v>151</v>
      </c>
      <c r="G102" s="19" t="s">
        <v>154</v>
      </c>
      <c r="H102" s="19"/>
      <c r="I102" s="24" t="n">
        <f aca="false">IF(AND(ISNUMBER(B102),ISNUMBER(D102)),B102*D102,0)</f>
        <v>9</v>
      </c>
    </row>
    <row r="103" customFormat="false" ht="15" hidden="false" customHeight="false" outlineLevel="0" collapsed="false">
      <c r="A103" s="19" t="s">
        <v>227</v>
      </c>
      <c r="B103" s="22" t="n">
        <v>20</v>
      </c>
      <c r="C103" s="19" t="n">
        <v>16</v>
      </c>
      <c r="D103" s="23" t="n">
        <v>0</v>
      </c>
      <c r="E103" s="19" t="s">
        <v>135</v>
      </c>
      <c r="F103" s="19" t="s">
        <v>151</v>
      </c>
      <c r="G103" s="19" t="s">
        <v>154</v>
      </c>
      <c r="H103" s="19"/>
      <c r="I103" s="24" t="n">
        <f aca="false">IF(AND(ISNUMBER(B103),ISNUMBER(D103)),B103*D103,0)</f>
        <v>0</v>
      </c>
    </row>
    <row r="104" customFormat="false" ht="15" hidden="false" customHeight="false" outlineLevel="0" collapsed="false">
      <c r="A104" s="19" t="s">
        <v>228</v>
      </c>
      <c r="B104" s="22" t="n">
        <v>20</v>
      </c>
      <c r="C104" s="19" t="n">
        <v>21</v>
      </c>
      <c r="D104" s="23" t="n">
        <v>26.06</v>
      </c>
      <c r="E104" s="19" t="s">
        <v>145</v>
      </c>
      <c r="F104" s="19" t="s">
        <v>151</v>
      </c>
      <c r="G104" s="19" t="s">
        <v>154</v>
      </c>
      <c r="H104" s="19"/>
      <c r="I104" s="24" t="n">
        <f aca="false">IF(AND(ISNUMBER(B104),ISNUMBER(D104)),B104*D104,0)</f>
        <v>521.2</v>
      </c>
    </row>
    <row r="105" customFormat="false" ht="15" hidden="false" customHeight="false" outlineLevel="0" collapsed="false">
      <c r="A105" s="19" t="s">
        <v>229</v>
      </c>
      <c r="B105" s="22" t="n">
        <v>20</v>
      </c>
      <c r="C105" s="19" t="n">
        <v>23</v>
      </c>
      <c r="D105" s="23" t="n">
        <v>0</v>
      </c>
      <c r="E105" s="19" t="s">
        <v>220</v>
      </c>
      <c r="F105" s="19" t="s">
        <v>151</v>
      </c>
      <c r="G105" s="19" t="s">
        <v>154</v>
      </c>
      <c r="H105" s="19"/>
      <c r="I105" s="24" t="n">
        <f aca="false">IF(AND(ISNUMBER(B105),ISNUMBER(D105)),B105*D105,0)</f>
        <v>0</v>
      </c>
    </row>
    <row r="106" customFormat="false" ht="15" hidden="false" customHeight="false" outlineLevel="0" collapsed="false">
      <c r="A106" s="19" t="s">
        <v>230</v>
      </c>
      <c r="B106" s="22" t="n">
        <v>20</v>
      </c>
      <c r="C106" s="19" t="n">
        <v>24</v>
      </c>
      <c r="D106" s="23" t="n">
        <v>26.06</v>
      </c>
      <c r="E106" s="19" t="s">
        <v>145</v>
      </c>
      <c r="F106" s="19" t="s">
        <v>151</v>
      </c>
      <c r="G106" s="19" t="s">
        <v>154</v>
      </c>
      <c r="H106" s="19"/>
      <c r="I106" s="24" t="n">
        <f aca="false">IF(AND(ISNUMBER(B106),ISNUMBER(D106)),B106*D106,0)</f>
        <v>521.2</v>
      </c>
    </row>
    <row r="107" customFormat="false" ht="15" hidden="false" customHeight="false" outlineLevel="0" collapsed="false">
      <c r="A107" s="19" t="s">
        <v>231</v>
      </c>
      <c r="B107" s="22" t="n">
        <v>20</v>
      </c>
      <c r="C107" s="19" t="n">
        <v>27</v>
      </c>
      <c r="D107" s="23" t="n">
        <v>0</v>
      </c>
      <c r="E107" s="19" t="s">
        <v>202</v>
      </c>
      <c r="F107" s="19" t="s">
        <v>151</v>
      </c>
      <c r="G107" s="19" t="s">
        <v>154</v>
      </c>
      <c r="H107" s="19"/>
      <c r="I107" s="24" t="n">
        <f aca="false">IF(AND(ISNUMBER(B107),ISNUMBER(D107)),B107*D107,0)</f>
        <v>0</v>
      </c>
    </row>
    <row r="108" customFormat="false" ht="15" hidden="false" customHeight="false" outlineLevel="0" collapsed="false">
      <c r="A108" s="19" t="s">
        <v>232</v>
      </c>
      <c r="B108" s="22" t="n">
        <v>20</v>
      </c>
      <c r="C108" s="19" t="n">
        <v>13</v>
      </c>
      <c r="D108" s="23" t="n">
        <v>0</v>
      </c>
      <c r="E108" s="19" t="s">
        <v>145</v>
      </c>
      <c r="F108" s="19" t="s">
        <v>151</v>
      </c>
      <c r="G108" s="19" t="s">
        <v>154</v>
      </c>
      <c r="H108" s="19"/>
      <c r="I108" s="24" t="n">
        <f aca="false">IF(AND(ISNUMBER(B108),ISNUMBER(D108)),B108*D108,0)</f>
        <v>0</v>
      </c>
    </row>
    <row r="109" customFormat="false" ht="15" hidden="false" customHeight="false" outlineLevel="0" collapsed="false">
      <c r="A109" s="19" t="s">
        <v>233</v>
      </c>
      <c r="B109" s="22" t="n">
        <v>20</v>
      </c>
      <c r="C109" s="19" t="n">
        <v>24</v>
      </c>
      <c r="D109" s="23" t="n">
        <v>0</v>
      </c>
      <c r="E109" s="19" t="s">
        <v>202</v>
      </c>
      <c r="F109" s="19" t="s">
        <v>151</v>
      </c>
      <c r="G109" s="19" t="s">
        <v>154</v>
      </c>
      <c r="H109" s="19"/>
      <c r="I109" s="24" t="n">
        <f aca="false">IF(AND(ISNUMBER(B109),ISNUMBER(D109)),B109*D109,0)</f>
        <v>0</v>
      </c>
    </row>
    <row r="110" customFormat="false" ht="15" hidden="false" customHeight="false" outlineLevel="0" collapsed="false">
      <c r="A110" s="19" t="s">
        <v>234</v>
      </c>
      <c r="B110" s="22" t="n">
        <v>20</v>
      </c>
      <c r="C110" s="19" t="n">
        <v>23</v>
      </c>
      <c r="D110" s="23" t="n">
        <v>0.34</v>
      </c>
      <c r="E110" s="19" t="s">
        <v>157</v>
      </c>
      <c r="F110" s="19" t="s">
        <v>151</v>
      </c>
      <c r="G110" s="19" t="s">
        <v>154</v>
      </c>
      <c r="H110" s="19"/>
      <c r="I110" s="24" t="n">
        <f aca="false">IF(AND(ISNUMBER(B110),ISNUMBER(D110)),B110*D110,0)</f>
        <v>6.8</v>
      </c>
    </row>
    <row r="111" customFormat="false" ht="15" hidden="false" customHeight="false" outlineLevel="0" collapsed="false">
      <c r="A111" s="19" t="s">
        <v>235</v>
      </c>
      <c r="B111" s="22" t="n">
        <v>20</v>
      </c>
      <c r="C111" s="19" t="n">
        <v>24</v>
      </c>
      <c r="D111" s="23" t="n">
        <v>0</v>
      </c>
      <c r="E111" s="19" t="s">
        <v>145</v>
      </c>
      <c r="F111" s="19" t="s">
        <v>151</v>
      </c>
      <c r="G111" s="19" t="s">
        <v>154</v>
      </c>
      <c r="H111" s="19"/>
      <c r="I111" s="24" t="n">
        <f aca="false">IF(AND(ISNUMBER(B111),ISNUMBER(D111)),B111*D111,0)</f>
        <v>0</v>
      </c>
    </row>
    <row r="112" customFormat="false" ht="15" hidden="false" customHeight="false" outlineLevel="0" collapsed="false">
      <c r="A112" s="19" t="s">
        <v>236</v>
      </c>
      <c r="B112" s="22" t="n">
        <v>20</v>
      </c>
      <c r="C112" s="19" t="n">
        <v>18</v>
      </c>
      <c r="D112" s="23" t="n">
        <v>0</v>
      </c>
      <c r="E112" s="19" t="s">
        <v>135</v>
      </c>
      <c r="F112" s="19" t="s">
        <v>151</v>
      </c>
      <c r="G112" s="19" t="s">
        <v>154</v>
      </c>
      <c r="H112" s="19"/>
      <c r="I112" s="24" t="n">
        <f aca="false">IF(AND(ISNUMBER(B112),ISNUMBER(D112)),B112*D112,0)</f>
        <v>0</v>
      </c>
    </row>
    <row r="113" customFormat="false" ht="15" hidden="false" customHeight="false" outlineLevel="0" collapsed="false">
      <c r="A113" s="19" t="s">
        <v>237</v>
      </c>
      <c r="B113" s="22" t="n">
        <v>20</v>
      </c>
      <c r="C113" s="19" t="n">
        <v>20</v>
      </c>
      <c r="D113" s="23" t="n">
        <v>1.21</v>
      </c>
      <c r="E113" s="19" t="s">
        <v>145</v>
      </c>
      <c r="F113" s="19" t="s">
        <v>153</v>
      </c>
      <c r="G113" s="19" t="s">
        <v>154</v>
      </c>
      <c r="H113" s="19" t="s">
        <v>98</v>
      </c>
      <c r="I113" s="24" t="n">
        <f aca="false">IF(AND(ISNUMBER(B113),ISNUMBER(D113)),B113*D113,0)</f>
        <v>24.2</v>
      </c>
    </row>
    <row r="114" customFormat="false" ht="15" hidden="false" customHeight="false" outlineLevel="0" collapsed="false">
      <c r="A114" s="19" t="s">
        <v>238</v>
      </c>
      <c r="B114" s="22" t="n">
        <v>20</v>
      </c>
      <c r="C114" s="19" t="n">
        <v>14</v>
      </c>
      <c r="D114" s="23" t="n">
        <v>0.69</v>
      </c>
      <c r="E114" s="19" t="s">
        <v>145</v>
      </c>
      <c r="F114" s="19" t="s">
        <v>153</v>
      </c>
      <c r="G114" s="19" t="s">
        <v>154</v>
      </c>
      <c r="H114" s="19" t="s">
        <v>15</v>
      </c>
      <c r="I114" s="24" t="n">
        <f aca="false">IF(AND(ISNUMBER(B114),ISNUMBER(D114)),B114*D114,0)</f>
        <v>13.8</v>
      </c>
    </row>
    <row r="115" customFormat="false" ht="15" hidden="false" customHeight="false" outlineLevel="0" collapsed="false">
      <c r="A115" s="19" t="s">
        <v>239</v>
      </c>
      <c r="B115" s="22" t="n">
        <v>20</v>
      </c>
      <c r="C115" s="19" t="n">
        <v>19</v>
      </c>
      <c r="D115" s="23" t="n">
        <v>0.24</v>
      </c>
      <c r="E115" s="19" t="s">
        <v>145</v>
      </c>
      <c r="F115" s="19" t="s">
        <v>153</v>
      </c>
      <c r="G115" s="19" t="s">
        <v>154</v>
      </c>
      <c r="H115" s="19" t="s">
        <v>82</v>
      </c>
      <c r="I115" s="24" t="n">
        <f aca="false">IF(AND(ISNUMBER(B115),ISNUMBER(D115)),B115*D115,0)</f>
        <v>4.8</v>
      </c>
    </row>
    <row r="116" customFormat="false" ht="15" hidden="false" customHeight="false" outlineLevel="0" collapsed="false">
      <c r="A116" s="19" t="s">
        <v>240</v>
      </c>
      <c r="B116" s="22" t="n">
        <v>10</v>
      </c>
      <c r="C116" s="19"/>
      <c r="D116" s="23" t="n">
        <v>0</v>
      </c>
      <c r="E116" s="19" t="s">
        <v>135</v>
      </c>
      <c r="F116" s="19" t="s">
        <v>151</v>
      </c>
      <c r="G116" s="19" t="s">
        <v>154</v>
      </c>
      <c r="H116" s="19"/>
      <c r="I116" s="24" t="n">
        <f aca="false">IF(AND(ISNUMBER(B116),ISNUMBER(D116)),B116*D116,0)</f>
        <v>0</v>
      </c>
    </row>
    <row r="117" customFormat="false" ht="15" hidden="false" customHeight="false" outlineLevel="0" collapsed="false">
      <c r="A117" s="19" t="s">
        <v>241</v>
      </c>
      <c r="B117" s="22" t="n">
        <v>10</v>
      </c>
      <c r="C117" s="19" t="n">
        <v>25</v>
      </c>
      <c r="D117" s="23" t="n">
        <v>0</v>
      </c>
      <c r="E117" s="19" t="s">
        <v>175</v>
      </c>
      <c r="F117" s="19" t="s">
        <v>151</v>
      </c>
      <c r="G117" s="19" t="s">
        <v>154</v>
      </c>
      <c r="H117" s="19"/>
      <c r="I117" s="24" t="n">
        <f aca="false">IF(AND(ISNUMBER(B117),ISNUMBER(D117)),B117*D117,0)</f>
        <v>0</v>
      </c>
    </row>
    <row r="118" customFormat="false" ht="15" hidden="false" customHeight="false" outlineLevel="0" collapsed="false">
      <c r="A118" s="19" t="s">
        <v>242</v>
      </c>
      <c r="B118" s="22" t="n">
        <v>10</v>
      </c>
      <c r="C118" s="19" t="n">
        <v>17</v>
      </c>
      <c r="D118" s="23" t="n">
        <v>0</v>
      </c>
      <c r="E118" s="19" t="s">
        <v>145</v>
      </c>
      <c r="F118" s="19" t="s">
        <v>151</v>
      </c>
      <c r="G118" s="19" t="s">
        <v>154</v>
      </c>
      <c r="H118" s="19"/>
      <c r="I118" s="24" t="n">
        <f aca="false">IF(AND(ISNUMBER(B118),ISNUMBER(D118)),B118*D118,0)</f>
        <v>0</v>
      </c>
    </row>
    <row r="119" customFormat="false" ht="15" hidden="false" customHeight="false" outlineLevel="0" collapsed="false">
      <c r="A119" s="19" t="s">
        <v>243</v>
      </c>
      <c r="B119" s="22" t="n">
        <v>10</v>
      </c>
      <c r="C119" s="19" t="n">
        <v>23</v>
      </c>
      <c r="D119" s="23" t="n">
        <v>0</v>
      </c>
      <c r="E119" s="19" t="s">
        <v>145</v>
      </c>
      <c r="F119" s="19" t="s">
        <v>151</v>
      </c>
      <c r="G119" s="19" t="s">
        <v>154</v>
      </c>
      <c r="H119" s="19"/>
      <c r="I119" s="24" t="n">
        <f aca="false">IF(AND(ISNUMBER(B119),ISNUMBER(D119)),B119*D119,0)</f>
        <v>0</v>
      </c>
    </row>
    <row r="120" customFormat="false" ht="15" hidden="false" customHeight="false" outlineLevel="0" collapsed="false">
      <c r="A120" s="19" t="s">
        <v>244</v>
      </c>
      <c r="B120" s="22" t="n">
        <v>10</v>
      </c>
      <c r="C120" s="19" t="n">
        <v>17</v>
      </c>
      <c r="D120" s="23" t="n">
        <v>0</v>
      </c>
      <c r="E120" s="19" t="s">
        <v>166</v>
      </c>
      <c r="F120" s="19" t="s">
        <v>151</v>
      </c>
      <c r="G120" s="19" t="s">
        <v>154</v>
      </c>
      <c r="H120" s="19"/>
      <c r="I120" s="24" t="n">
        <f aca="false">IF(AND(ISNUMBER(B120),ISNUMBER(D120)),B120*D120,0)</f>
        <v>0</v>
      </c>
    </row>
    <row r="121" customFormat="false" ht="15" hidden="false" customHeight="false" outlineLevel="0" collapsed="false">
      <c r="A121" s="19" t="s">
        <v>245</v>
      </c>
      <c r="B121" s="22" t="n">
        <v>10</v>
      </c>
      <c r="C121" s="19" t="n">
        <v>28</v>
      </c>
      <c r="D121" s="23" t="n">
        <v>0</v>
      </c>
      <c r="E121" s="19" t="s">
        <v>145</v>
      </c>
      <c r="F121" s="19" t="s">
        <v>151</v>
      </c>
      <c r="G121" s="19" t="s">
        <v>154</v>
      </c>
      <c r="H121" s="19"/>
      <c r="I121" s="24" t="n">
        <f aca="false">IF(AND(ISNUMBER(B121),ISNUMBER(D121)),B121*D121,0)</f>
        <v>0</v>
      </c>
    </row>
    <row r="122" customFormat="false" ht="15" hidden="false" customHeight="false" outlineLevel="0" collapsed="false">
      <c r="A122" s="19" t="s">
        <v>246</v>
      </c>
      <c r="B122" s="22" t="n">
        <v>10</v>
      </c>
      <c r="C122" s="19" t="n">
        <v>16</v>
      </c>
      <c r="D122" s="23" t="n">
        <v>0.87</v>
      </c>
      <c r="E122" s="19" t="s">
        <v>145</v>
      </c>
      <c r="F122" s="19" t="s">
        <v>151</v>
      </c>
      <c r="G122" s="19" t="s">
        <v>154</v>
      </c>
      <c r="H122" s="19"/>
      <c r="I122" s="24" t="n">
        <f aca="false">IF(AND(ISNUMBER(B122),ISNUMBER(D122)),B122*D122,0)</f>
        <v>8.7</v>
      </c>
    </row>
    <row r="123" customFormat="false" ht="15" hidden="false" customHeight="false" outlineLevel="0" collapsed="false">
      <c r="A123" s="19" t="s">
        <v>247</v>
      </c>
      <c r="B123" s="22" t="n">
        <v>10</v>
      </c>
      <c r="C123" s="19" t="n">
        <v>20</v>
      </c>
      <c r="D123" s="23" t="n">
        <v>0</v>
      </c>
      <c r="E123" s="19" t="s">
        <v>145</v>
      </c>
      <c r="F123" s="19" t="s">
        <v>151</v>
      </c>
      <c r="G123" s="19" t="s">
        <v>154</v>
      </c>
      <c r="H123" s="19"/>
      <c r="I123" s="24" t="n">
        <f aca="false">IF(AND(ISNUMBER(B123),ISNUMBER(D123)),B123*D123,0)</f>
        <v>0</v>
      </c>
    </row>
    <row r="124" customFormat="false" ht="15" hidden="false" customHeight="false" outlineLevel="0" collapsed="false">
      <c r="A124" s="19" t="s">
        <v>248</v>
      </c>
      <c r="B124" s="22" t="n">
        <v>10</v>
      </c>
      <c r="C124" s="19" t="n">
        <v>18</v>
      </c>
      <c r="D124" s="23" t="n">
        <v>0.78</v>
      </c>
      <c r="E124" s="19" t="s">
        <v>145</v>
      </c>
      <c r="F124" s="19" t="s">
        <v>151</v>
      </c>
      <c r="G124" s="19" t="s">
        <v>154</v>
      </c>
      <c r="H124" s="19"/>
      <c r="I124" s="24" t="n">
        <f aca="false">IF(AND(ISNUMBER(B124),ISNUMBER(D124)),B124*D124,0)</f>
        <v>7.8</v>
      </c>
    </row>
    <row r="125" customFormat="false" ht="15" hidden="false" customHeight="false" outlineLevel="0" collapsed="false">
      <c r="A125" s="19" t="s">
        <v>249</v>
      </c>
      <c r="B125" s="22" t="n">
        <v>10</v>
      </c>
      <c r="C125" s="19" t="n">
        <v>25</v>
      </c>
      <c r="D125" s="23" t="n">
        <v>0</v>
      </c>
      <c r="E125" s="19" t="s">
        <v>135</v>
      </c>
      <c r="F125" s="19" t="s">
        <v>151</v>
      </c>
      <c r="G125" s="19" t="s">
        <v>154</v>
      </c>
      <c r="H125" s="19"/>
      <c r="I125" s="24" t="n">
        <f aca="false">IF(AND(ISNUMBER(B125),ISNUMBER(D125)),B125*D125,0)</f>
        <v>0</v>
      </c>
    </row>
    <row r="126" customFormat="false" ht="15" hidden="false" customHeight="false" outlineLevel="0" collapsed="false">
      <c r="A126" s="19" t="s">
        <v>250</v>
      </c>
      <c r="B126" s="22" t="n">
        <v>10</v>
      </c>
      <c r="C126" s="19" t="n">
        <v>27</v>
      </c>
      <c r="D126" s="23" t="n">
        <v>0</v>
      </c>
      <c r="E126" s="19" t="s">
        <v>209</v>
      </c>
      <c r="F126" s="19" t="s">
        <v>151</v>
      </c>
      <c r="G126" s="19" t="s">
        <v>154</v>
      </c>
      <c r="H126" s="19"/>
      <c r="I126" s="24" t="n">
        <f aca="false">IF(AND(ISNUMBER(B126),ISNUMBER(D126)),B126*D126,0)</f>
        <v>0</v>
      </c>
    </row>
    <row r="127" customFormat="false" ht="15" hidden="false" customHeight="false" outlineLevel="0" collapsed="false">
      <c r="A127" s="19" t="s">
        <v>251</v>
      </c>
      <c r="B127" s="22" t="n">
        <v>10</v>
      </c>
      <c r="C127" s="19" t="n">
        <v>11</v>
      </c>
      <c r="D127" s="23" t="n">
        <v>0</v>
      </c>
      <c r="E127" s="19" t="s">
        <v>145</v>
      </c>
      <c r="F127" s="19" t="s">
        <v>151</v>
      </c>
      <c r="G127" s="19" t="s">
        <v>154</v>
      </c>
      <c r="H127" s="19"/>
      <c r="I127" s="24" t="n">
        <f aca="false">IF(AND(ISNUMBER(B127),ISNUMBER(D127)),B127*D127,0)</f>
        <v>0</v>
      </c>
    </row>
    <row r="128" customFormat="false" ht="15" hidden="false" customHeight="false" outlineLevel="0" collapsed="false">
      <c r="A128" s="19" t="s">
        <v>252</v>
      </c>
      <c r="B128" s="22" t="n">
        <v>10</v>
      </c>
      <c r="C128" s="19" t="n">
        <v>20</v>
      </c>
      <c r="D128" s="23" t="n">
        <v>0</v>
      </c>
      <c r="E128" s="19" t="s">
        <v>135</v>
      </c>
      <c r="F128" s="19" t="s">
        <v>151</v>
      </c>
      <c r="G128" s="19" t="s">
        <v>154</v>
      </c>
      <c r="H128" s="19"/>
      <c r="I128" s="24" t="n">
        <f aca="false">IF(AND(ISNUMBER(B128),ISNUMBER(D128)),B128*D128,0)</f>
        <v>0</v>
      </c>
    </row>
    <row r="129" customFormat="false" ht="15" hidden="false" customHeight="false" outlineLevel="0" collapsed="false">
      <c r="A129" s="19" t="s">
        <v>253</v>
      </c>
      <c r="B129" s="22" t="n">
        <v>10</v>
      </c>
      <c r="C129" s="19" t="n">
        <v>18</v>
      </c>
      <c r="D129" s="23" t="n">
        <v>0</v>
      </c>
      <c r="E129" s="19" t="s">
        <v>145</v>
      </c>
      <c r="F129" s="19" t="s">
        <v>151</v>
      </c>
      <c r="G129" s="19" t="s">
        <v>154</v>
      </c>
      <c r="H129" s="19"/>
      <c r="I129" s="24" t="n">
        <f aca="false">IF(AND(ISNUMBER(B129),ISNUMBER(D129)),B129*D129,0)</f>
        <v>0</v>
      </c>
    </row>
    <row r="130" customFormat="false" ht="15" hidden="false" customHeight="false" outlineLevel="0" collapsed="false">
      <c r="A130" s="19" t="s">
        <v>254</v>
      </c>
      <c r="B130" s="22" t="n">
        <v>10</v>
      </c>
      <c r="C130" s="19" t="n">
        <v>28</v>
      </c>
      <c r="D130" s="23" t="n">
        <v>0</v>
      </c>
      <c r="E130" s="19" t="s">
        <v>209</v>
      </c>
      <c r="F130" s="19" t="s">
        <v>151</v>
      </c>
      <c r="G130" s="19" t="s">
        <v>154</v>
      </c>
      <c r="H130" s="19"/>
      <c r="I130" s="24" t="n">
        <f aca="false">IF(AND(ISNUMBER(B130),ISNUMBER(D130)),B130*D130,0)</f>
        <v>0</v>
      </c>
    </row>
    <row r="131" customFormat="false" ht="15" hidden="false" customHeight="false" outlineLevel="0" collapsed="false">
      <c r="A131" s="19" t="s">
        <v>255</v>
      </c>
      <c r="B131" s="22" t="n">
        <v>10</v>
      </c>
      <c r="C131" s="19" t="n">
        <v>29</v>
      </c>
      <c r="D131" s="23" t="n">
        <v>0</v>
      </c>
      <c r="E131" s="19" t="s">
        <v>145</v>
      </c>
      <c r="F131" s="19" t="s">
        <v>151</v>
      </c>
      <c r="G131" s="19" t="s">
        <v>154</v>
      </c>
      <c r="H131" s="19"/>
      <c r="I131" s="24" t="n">
        <f aca="false">IF(AND(ISNUMBER(B131),ISNUMBER(D131)),B131*D131,0)</f>
        <v>0</v>
      </c>
    </row>
    <row r="132" customFormat="false" ht="15" hidden="false" customHeight="false" outlineLevel="0" collapsed="false">
      <c r="A132" s="19" t="s">
        <v>256</v>
      </c>
      <c r="B132" s="22" t="n">
        <v>10</v>
      </c>
      <c r="C132" s="19" t="n">
        <v>25</v>
      </c>
      <c r="D132" s="23" t="n">
        <v>0</v>
      </c>
      <c r="E132" s="19" t="s">
        <v>157</v>
      </c>
      <c r="F132" s="19" t="s">
        <v>151</v>
      </c>
      <c r="G132" s="19" t="s">
        <v>154</v>
      </c>
      <c r="H132" s="19"/>
      <c r="I132" s="24" t="n">
        <f aca="false">IF(AND(ISNUMBER(B132),ISNUMBER(D132)),B132*D132,0)</f>
        <v>0</v>
      </c>
    </row>
    <row r="133" customFormat="false" ht="15" hidden="false" customHeight="false" outlineLevel="0" collapsed="false">
      <c r="A133" s="19" t="s">
        <v>257</v>
      </c>
      <c r="B133" s="22" t="n">
        <v>0</v>
      </c>
      <c r="C133" s="19" t="n">
        <v>22</v>
      </c>
      <c r="D133" s="23" t="n">
        <v>0</v>
      </c>
      <c r="E133" s="19" t="s">
        <v>145</v>
      </c>
      <c r="F133" s="19" t="s">
        <v>151</v>
      </c>
      <c r="G133" s="19" t="s">
        <v>154</v>
      </c>
      <c r="H133" s="19"/>
      <c r="I133" s="24" t="n">
        <f aca="false">IF(AND(ISNUMBER(B133),ISNUMBER(D133)),B133*D133,0)</f>
        <v>0</v>
      </c>
    </row>
    <row r="134" customFormat="false" ht="15" hidden="false" customHeight="false" outlineLevel="0" collapsed="false">
      <c r="A134" s="19" t="s">
        <v>258</v>
      </c>
      <c r="B134" s="22" t="n">
        <v>0</v>
      </c>
      <c r="C134" s="19" t="n">
        <v>25</v>
      </c>
      <c r="D134" s="23" t="n">
        <v>0</v>
      </c>
      <c r="E134" s="19" t="s">
        <v>157</v>
      </c>
      <c r="F134" s="19" t="s">
        <v>151</v>
      </c>
      <c r="G134" s="19" t="s">
        <v>154</v>
      </c>
      <c r="H134" s="19"/>
      <c r="I134" s="24" t="n">
        <f aca="false">IF(AND(ISNUMBER(B134),ISNUMBER(D134)),B134*D134,0)</f>
        <v>0</v>
      </c>
    </row>
    <row r="135" customFormat="false" ht="15" hidden="false" customHeight="false" outlineLevel="0" collapsed="false">
      <c r="A135" s="19" t="s">
        <v>259</v>
      </c>
      <c r="B135" s="22" t="n">
        <v>0</v>
      </c>
      <c r="C135" s="19" t="n">
        <v>17</v>
      </c>
      <c r="D135" s="23" t="n">
        <v>0</v>
      </c>
      <c r="E135" s="19" t="s">
        <v>157</v>
      </c>
      <c r="F135" s="19" t="s">
        <v>151</v>
      </c>
      <c r="G135" s="19" t="s">
        <v>154</v>
      </c>
      <c r="H135" s="19"/>
      <c r="I135" s="24" t="n">
        <f aca="false">IF(AND(ISNUMBER(B135),ISNUMBER(D135)),B135*D135,0)</f>
        <v>0</v>
      </c>
    </row>
    <row r="136" customFormat="false" ht="15" hidden="false" customHeight="false" outlineLevel="0" collapsed="false">
      <c r="A136" s="19" t="s">
        <v>260</v>
      </c>
      <c r="B136" s="22" t="n">
        <v>0</v>
      </c>
      <c r="C136" s="19" t="n">
        <v>2</v>
      </c>
      <c r="D136" s="23" t="n">
        <v>0</v>
      </c>
      <c r="E136" s="19" t="s">
        <v>145</v>
      </c>
      <c r="F136" s="19" t="s">
        <v>151</v>
      </c>
      <c r="G136" s="19" t="s">
        <v>154</v>
      </c>
      <c r="H136" s="19"/>
      <c r="I136" s="24" t="n">
        <f aca="false">IF(AND(ISNUMBER(B136),ISNUMBER(D136)),B136*D136,0)</f>
        <v>0</v>
      </c>
    </row>
    <row r="137" customFormat="false" ht="15" hidden="false" customHeight="false" outlineLevel="0" collapsed="false">
      <c r="A137" s="19" t="s">
        <v>261</v>
      </c>
      <c r="B137" s="22" t="n">
        <v>0</v>
      </c>
      <c r="C137" s="19" t="n">
        <v>28</v>
      </c>
      <c r="D137" s="23" t="n">
        <v>0</v>
      </c>
      <c r="E137" s="19" t="s">
        <v>202</v>
      </c>
      <c r="F137" s="19" t="s">
        <v>151</v>
      </c>
      <c r="G137" s="19" t="s">
        <v>154</v>
      </c>
      <c r="H137" s="19"/>
      <c r="I137" s="24" t="n">
        <f aca="false">IF(AND(ISNUMBER(B137),ISNUMBER(D137)),B137*D137,0)</f>
        <v>0</v>
      </c>
    </row>
    <row r="138" customFormat="false" ht="15" hidden="false" customHeight="false" outlineLevel="0" collapsed="false">
      <c r="A138" s="19" t="s">
        <v>262</v>
      </c>
      <c r="B138" s="22" t="n">
        <v>0</v>
      </c>
      <c r="C138" s="19" t="n">
        <v>23</v>
      </c>
      <c r="D138" s="23" t="n">
        <v>0</v>
      </c>
      <c r="E138" s="19" t="s">
        <v>135</v>
      </c>
      <c r="F138" s="19" t="s">
        <v>151</v>
      </c>
      <c r="G138" s="19" t="s">
        <v>154</v>
      </c>
      <c r="H138" s="19"/>
      <c r="I138" s="24" t="n">
        <f aca="false">IF(AND(ISNUMBER(B138),ISNUMBER(D138)),B138*D138,0)</f>
        <v>0</v>
      </c>
    </row>
    <row r="139" customFormat="false" ht="15" hidden="false" customHeight="false" outlineLevel="0" collapsed="false">
      <c r="A139" s="19" t="s">
        <v>263</v>
      </c>
      <c r="B139" s="22" t="n">
        <v>0</v>
      </c>
      <c r="C139" s="19" t="n">
        <v>25</v>
      </c>
      <c r="D139" s="23" t="n">
        <v>0</v>
      </c>
      <c r="E139" s="19" t="s">
        <v>145</v>
      </c>
      <c r="F139" s="19" t="s">
        <v>151</v>
      </c>
      <c r="G139" s="19" t="s">
        <v>154</v>
      </c>
      <c r="H139" s="19"/>
      <c r="I139" s="24" t="n">
        <f aca="false">IF(AND(ISNUMBER(B139),ISNUMBER(D139)),B139*D139,0)</f>
        <v>0</v>
      </c>
    </row>
    <row r="140" customFormat="false" ht="15" hidden="false" customHeight="false" outlineLevel="0" collapsed="false">
      <c r="A140" s="19" t="s">
        <v>264</v>
      </c>
      <c r="B140" s="22" t="n">
        <v>0</v>
      </c>
      <c r="C140" s="19" t="n">
        <v>6</v>
      </c>
      <c r="D140" s="23" t="n">
        <v>0</v>
      </c>
      <c r="E140" s="19" t="s">
        <v>135</v>
      </c>
      <c r="F140" s="19" t="s">
        <v>151</v>
      </c>
      <c r="G140" s="19" t="s">
        <v>154</v>
      </c>
      <c r="H140" s="19"/>
      <c r="I140" s="24" t="n">
        <f aca="false">IF(AND(ISNUMBER(B140),ISNUMBER(D140)),B140*D140,0)</f>
        <v>0</v>
      </c>
    </row>
    <row r="141" customFormat="false" ht="15" hidden="false" customHeight="false" outlineLevel="0" collapsed="false">
      <c r="A141" s="19" t="s">
        <v>25</v>
      </c>
      <c r="B141" s="22" t="n">
        <v>0</v>
      </c>
      <c r="C141" s="19" t="n">
        <v>12</v>
      </c>
      <c r="D141" s="23" t="n">
        <v>0</v>
      </c>
      <c r="E141" s="19"/>
      <c r="F141" s="19" t="s">
        <v>153</v>
      </c>
      <c r="G141" s="19" t="s">
        <v>154</v>
      </c>
      <c r="H141" s="19" t="s">
        <v>22</v>
      </c>
      <c r="I141" s="24" t="n">
        <f aca="false">IF(AND(ISNUMBER(B141),ISNUMBER(D141)),B141*D141,0)</f>
        <v>0</v>
      </c>
    </row>
    <row r="142" customFormat="false" ht="15" hidden="false" customHeight="false" outlineLevel="0" collapsed="false">
      <c r="A142" s="19" t="s">
        <v>116</v>
      </c>
      <c r="B142" s="22" t="n">
        <v>0</v>
      </c>
      <c r="C142" s="19" t="n">
        <v>7</v>
      </c>
      <c r="D142" s="23" t="n">
        <v>0</v>
      </c>
      <c r="E142" s="19"/>
      <c r="F142" s="19" t="s">
        <v>153</v>
      </c>
      <c r="G142" s="19" t="s">
        <v>154</v>
      </c>
      <c r="H142" s="19" t="s">
        <v>114</v>
      </c>
      <c r="I142" s="24" t="n">
        <f aca="false">IF(AND(ISNUMBER(B142),ISNUMBER(D142)),B142*D142,0)</f>
        <v>0</v>
      </c>
    </row>
    <row r="143" customFormat="false" ht="15" hidden="false" customHeight="false" outlineLevel="0" collapsed="false">
      <c r="A143" s="19" t="s">
        <v>117</v>
      </c>
      <c r="B143" s="22" t="n">
        <v>0</v>
      </c>
      <c r="C143" s="19" t="n">
        <v>28</v>
      </c>
      <c r="D143" s="23" t="n">
        <v>0</v>
      </c>
      <c r="E143" s="19"/>
      <c r="F143" s="19" t="s">
        <v>153</v>
      </c>
      <c r="G143" s="19" t="s">
        <v>154</v>
      </c>
      <c r="H143" s="19" t="s">
        <v>114</v>
      </c>
      <c r="I143" s="24" t="n">
        <f aca="false">IF(AND(ISNUMBER(B143),ISNUMBER(D143)),B143*D143,0)</f>
        <v>0</v>
      </c>
    </row>
    <row r="144" customFormat="false" ht="15" hidden="false" customHeight="false" outlineLevel="0" collapsed="false">
      <c r="A144" s="19" t="s">
        <v>104</v>
      </c>
      <c r="B144" s="22" t="n">
        <v>9900</v>
      </c>
      <c r="C144" s="19" t="n">
        <v>28</v>
      </c>
      <c r="D144" s="23" t="n">
        <v>0.65</v>
      </c>
      <c r="E144" s="19" t="s">
        <v>168</v>
      </c>
      <c r="F144" s="19" t="s">
        <v>161</v>
      </c>
      <c r="G144" s="19" t="s">
        <v>265</v>
      </c>
      <c r="H144" s="19" t="s">
        <v>102</v>
      </c>
      <c r="I144" s="24" t="n">
        <f aca="false">IF(AND(ISNUMBER(B144),ISNUMBER(D144)),B144*D144,0)</f>
        <v>6435</v>
      </c>
    </row>
    <row r="145" customFormat="false" ht="15" hidden="false" customHeight="false" outlineLevel="0" collapsed="false">
      <c r="A145" s="19" t="s">
        <v>266</v>
      </c>
      <c r="B145" s="22" t="n">
        <v>6600</v>
      </c>
      <c r="C145" s="19" t="n">
        <v>24</v>
      </c>
      <c r="D145" s="23" t="n">
        <v>0.49</v>
      </c>
      <c r="E145" s="19" t="s">
        <v>168</v>
      </c>
      <c r="F145" s="19" t="s">
        <v>161</v>
      </c>
      <c r="G145" s="19" t="s">
        <v>265</v>
      </c>
      <c r="H145" s="19"/>
      <c r="I145" s="24" t="n">
        <f aca="false">IF(AND(ISNUMBER(B145),ISNUMBER(D145)),B145*D145,0)</f>
        <v>3234</v>
      </c>
    </row>
    <row r="146" customFormat="false" ht="15" hidden="false" customHeight="false" outlineLevel="0" collapsed="false">
      <c r="A146" s="19" t="s">
        <v>267</v>
      </c>
      <c r="B146" s="22" t="n">
        <v>3600</v>
      </c>
      <c r="C146" s="19" t="n">
        <v>14</v>
      </c>
      <c r="D146" s="23" t="n">
        <v>0</v>
      </c>
      <c r="E146" s="19" t="s">
        <v>145</v>
      </c>
      <c r="F146" s="19" t="s">
        <v>136</v>
      </c>
      <c r="G146" s="19" t="s">
        <v>265</v>
      </c>
      <c r="H146" s="19" t="s">
        <v>102</v>
      </c>
      <c r="I146" s="24" t="n">
        <f aca="false">IF(AND(ISNUMBER(B146),ISNUMBER(D146)),B146*D146,0)</f>
        <v>0</v>
      </c>
    </row>
    <row r="147" customFormat="false" ht="15" hidden="false" customHeight="false" outlineLevel="0" collapsed="false">
      <c r="A147" s="19" t="s">
        <v>268</v>
      </c>
      <c r="B147" s="22" t="n">
        <v>2900</v>
      </c>
      <c r="C147" s="19" t="n">
        <v>23</v>
      </c>
      <c r="D147" s="23" t="n">
        <v>0.44</v>
      </c>
      <c r="E147" s="19" t="s">
        <v>135</v>
      </c>
      <c r="F147" s="19" t="s">
        <v>161</v>
      </c>
      <c r="G147" s="19" t="s">
        <v>265</v>
      </c>
      <c r="H147" s="19"/>
      <c r="I147" s="24" t="n">
        <f aca="false">IF(AND(ISNUMBER(B147),ISNUMBER(D147)),B147*D147,0)</f>
        <v>1276</v>
      </c>
    </row>
    <row r="148" customFormat="false" ht="15" hidden="false" customHeight="false" outlineLevel="0" collapsed="false">
      <c r="A148" s="19" t="s">
        <v>269</v>
      </c>
      <c r="B148" s="22" t="n">
        <v>2400</v>
      </c>
      <c r="C148" s="19" t="n">
        <v>27</v>
      </c>
      <c r="D148" s="23" t="n">
        <v>0.33</v>
      </c>
      <c r="E148" s="19" t="s">
        <v>168</v>
      </c>
      <c r="F148" s="19" t="s">
        <v>161</v>
      </c>
      <c r="G148" s="19" t="s">
        <v>265</v>
      </c>
      <c r="H148" s="19"/>
      <c r="I148" s="24" t="n">
        <f aca="false">IF(AND(ISNUMBER(B148),ISNUMBER(D148)),B148*D148,0)</f>
        <v>792</v>
      </c>
    </row>
    <row r="149" customFormat="false" ht="15" hidden="false" customHeight="false" outlineLevel="0" collapsed="false">
      <c r="A149" s="19" t="s">
        <v>270</v>
      </c>
      <c r="B149" s="22" t="n">
        <v>2400</v>
      </c>
      <c r="C149" s="19" t="n">
        <v>11</v>
      </c>
      <c r="D149" s="23" t="n">
        <v>0.9</v>
      </c>
      <c r="E149" s="19" t="s">
        <v>168</v>
      </c>
      <c r="F149" s="19" t="s">
        <v>161</v>
      </c>
      <c r="G149" s="19" t="s">
        <v>265</v>
      </c>
      <c r="H149" s="19"/>
      <c r="I149" s="24" t="n">
        <f aca="false">IF(AND(ISNUMBER(B149),ISNUMBER(D149)),B149*D149,0)</f>
        <v>2160</v>
      </c>
    </row>
    <row r="150" customFormat="false" ht="15" hidden="false" customHeight="false" outlineLevel="0" collapsed="false">
      <c r="A150" s="19" t="s">
        <v>271</v>
      </c>
      <c r="B150" s="22" t="n">
        <v>1900</v>
      </c>
      <c r="C150" s="19" t="n">
        <v>24</v>
      </c>
      <c r="D150" s="23" t="n">
        <v>0.96</v>
      </c>
      <c r="E150" s="19" t="s">
        <v>185</v>
      </c>
      <c r="F150" s="19" t="s">
        <v>161</v>
      </c>
      <c r="G150" s="19" t="s">
        <v>265</v>
      </c>
      <c r="H150" s="19"/>
      <c r="I150" s="24" t="n">
        <f aca="false">IF(AND(ISNUMBER(B150),ISNUMBER(D150)),B150*D150,0)</f>
        <v>1824</v>
      </c>
    </row>
    <row r="151" customFormat="false" ht="15" hidden="false" customHeight="false" outlineLevel="0" collapsed="false">
      <c r="A151" s="19" t="s">
        <v>272</v>
      </c>
      <c r="B151" s="22" t="n">
        <v>1900</v>
      </c>
      <c r="C151" s="19" t="n">
        <v>22</v>
      </c>
      <c r="D151" s="23" t="n">
        <v>0.26</v>
      </c>
      <c r="E151" s="19" t="s">
        <v>168</v>
      </c>
      <c r="F151" s="19" t="s">
        <v>161</v>
      </c>
      <c r="G151" s="19" t="s">
        <v>265</v>
      </c>
      <c r="H151" s="19"/>
      <c r="I151" s="24" t="n">
        <f aca="false">IF(AND(ISNUMBER(B151),ISNUMBER(D151)),B151*D151,0)</f>
        <v>494</v>
      </c>
    </row>
    <row r="152" customFormat="false" ht="15" hidden="false" customHeight="false" outlineLevel="0" collapsed="false">
      <c r="A152" s="19" t="s">
        <v>273</v>
      </c>
      <c r="B152" s="22" t="n">
        <v>1900</v>
      </c>
      <c r="C152" s="19" t="n">
        <v>22</v>
      </c>
      <c r="D152" s="23" t="n">
        <v>0.36</v>
      </c>
      <c r="E152" s="19" t="s">
        <v>168</v>
      </c>
      <c r="F152" s="19" t="s">
        <v>161</v>
      </c>
      <c r="G152" s="19" t="s">
        <v>265</v>
      </c>
      <c r="H152" s="19"/>
      <c r="I152" s="24" t="n">
        <f aca="false">IF(AND(ISNUMBER(B152),ISNUMBER(D152)),B152*D152,0)</f>
        <v>684</v>
      </c>
    </row>
    <row r="153" customFormat="false" ht="15" hidden="false" customHeight="false" outlineLevel="0" collapsed="false">
      <c r="A153" s="19" t="s">
        <v>274</v>
      </c>
      <c r="B153" s="22" t="n">
        <v>1900</v>
      </c>
      <c r="C153" s="19" t="n">
        <v>24</v>
      </c>
      <c r="D153" s="23" t="n">
        <v>0.31</v>
      </c>
      <c r="E153" s="19" t="s">
        <v>135</v>
      </c>
      <c r="F153" s="19" t="s">
        <v>161</v>
      </c>
      <c r="G153" s="19" t="s">
        <v>265</v>
      </c>
      <c r="H153" s="19"/>
      <c r="I153" s="24" t="n">
        <f aca="false">IF(AND(ISNUMBER(B153),ISNUMBER(D153)),B153*D153,0)</f>
        <v>589</v>
      </c>
    </row>
    <row r="154" customFormat="false" ht="15" hidden="false" customHeight="false" outlineLevel="0" collapsed="false">
      <c r="A154" s="19" t="s">
        <v>275</v>
      </c>
      <c r="B154" s="22" t="n">
        <v>1900</v>
      </c>
      <c r="C154" s="19" t="n">
        <v>17</v>
      </c>
      <c r="D154" s="23" t="n">
        <v>0.31</v>
      </c>
      <c r="E154" s="19" t="s">
        <v>157</v>
      </c>
      <c r="F154" s="19" t="s">
        <v>161</v>
      </c>
      <c r="G154" s="19" t="s">
        <v>265</v>
      </c>
      <c r="H154" s="19"/>
      <c r="I154" s="24" t="n">
        <f aca="false">IF(AND(ISNUMBER(B154),ISNUMBER(D154)),B154*D154,0)</f>
        <v>589</v>
      </c>
    </row>
    <row r="155" customFormat="false" ht="15" hidden="false" customHeight="false" outlineLevel="0" collapsed="false">
      <c r="A155" s="19" t="s">
        <v>276</v>
      </c>
      <c r="B155" s="22" t="n">
        <v>1900</v>
      </c>
      <c r="C155" s="19" t="n">
        <v>23</v>
      </c>
      <c r="D155" s="23" t="n">
        <v>0</v>
      </c>
      <c r="E155" s="19" t="s">
        <v>135</v>
      </c>
      <c r="F155" s="19" t="s">
        <v>161</v>
      </c>
      <c r="G155" s="19" t="s">
        <v>265</v>
      </c>
      <c r="H155" s="19"/>
      <c r="I155" s="24" t="n">
        <f aca="false">IF(AND(ISNUMBER(B155),ISNUMBER(D155)),B155*D155,0)</f>
        <v>0</v>
      </c>
    </row>
    <row r="156" customFormat="false" ht="15" hidden="false" customHeight="false" outlineLevel="0" collapsed="false">
      <c r="A156" s="19" t="s">
        <v>277</v>
      </c>
      <c r="B156" s="22" t="n">
        <v>1900</v>
      </c>
      <c r="C156" s="19" t="n">
        <v>24</v>
      </c>
      <c r="D156" s="23" t="n">
        <v>0.8</v>
      </c>
      <c r="E156" s="19" t="s">
        <v>135</v>
      </c>
      <c r="F156" s="19" t="s">
        <v>161</v>
      </c>
      <c r="G156" s="19" t="s">
        <v>265</v>
      </c>
      <c r="H156" s="19" t="s">
        <v>102</v>
      </c>
      <c r="I156" s="24" t="n">
        <f aca="false">IF(AND(ISNUMBER(B156),ISNUMBER(D156)),B156*D156,0)</f>
        <v>1520</v>
      </c>
    </row>
    <row r="157" customFormat="false" ht="15" hidden="false" customHeight="false" outlineLevel="0" collapsed="false">
      <c r="A157" s="19" t="s">
        <v>278</v>
      </c>
      <c r="B157" s="22" t="n">
        <v>1600</v>
      </c>
      <c r="C157" s="19" t="n">
        <v>27</v>
      </c>
      <c r="D157" s="23" t="n">
        <v>0.45</v>
      </c>
      <c r="E157" s="19" t="s">
        <v>168</v>
      </c>
      <c r="F157" s="19" t="s">
        <v>161</v>
      </c>
      <c r="G157" s="19" t="s">
        <v>265</v>
      </c>
      <c r="H157" s="19"/>
      <c r="I157" s="24" t="n">
        <f aca="false">IF(AND(ISNUMBER(B157),ISNUMBER(D157)),B157*D157,0)</f>
        <v>720</v>
      </c>
    </row>
    <row r="158" customFormat="false" ht="15" hidden="false" customHeight="false" outlineLevel="0" collapsed="false">
      <c r="A158" s="19" t="s">
        <v>279</v>
      </c>
      <c r="B158" s="22" t="n">
        <v>1600</v>
      </c>
      <c r="C158" s="19" t="n">
        <v>21</v>
      </c>
      <c r="D158" s="23" t="n">
        <v>0.49</v>
      </c>
      <c r="E158" s="19" t="s">
        <v>175</v>
      </c>
      <c r="F158" s="19" t="s">
        <v>161</v>
      </c>
      <c r="G158" s="19" t="s">
        <v>265</v>
      </c>
      <c r="H158" s="19"/>
      <c r="I158" s="24" t="n">
        <f aca="false">IF(AND(ISNUMBER(B158),ISNUMBER(D158)),B158*D158,0)</f>
        <v>784</v>
      </c>
    </row>
    <row r="159" customFormat="false" ht="15" hidden="false" customHeight="false" outlineLevel="0" collapsed="false">
      <c r="A159" s="19" t="s">
        <v>280</v>
      </c>
      <c r="B159" s="22" t="n">
        <v>1600</v>
      </c>
      <c r="C159" s="19" t="n">
        <v>13</v>
      </c>
      <c r="D159" s="23" t="n">
        <v>0.31</v>
      </c>
      <c r="E159" s="19" t="s">
        <v>135</v>
      </c>
      <c r="F159" s="19" t="s">
        <v>161</v>
      </c>
      <c r="G159" s="19" t="s">
        <v>265</v>
      </c>
      <c r="H159" s="19"/>
      <c r="I159" s="24" t="n">
        <f aca="false">IF(AND(ISNUMBER(B159),ISNUMBER(D159)),B159*D159,0)</f>
        <v>496</v>
      </c>
    </row>
    <row r="160" customFormat="false" ht="15" hidden="false" customHeight="false" outlineLevel="0" collapsed="false">
      <c r="A160" s="19" t="s">
        <v>281</v>
      </c>
      <c r="B160" s="22" t="n">
        <v>1600</v>
      </c>
      <c r="C160" s="19" t="n">
        <v>12</v>
      </c>
      <c r="D160" s="23" t="n">
        <v>0.31</v>
      </c>
      <c r="E160" s="19" t="s">
        <v>135</v>
      </c>
      <c r="F160" s="19" t="s">
        <v>161</v>
      </c>
      <c r="G160" s="19" t="s">
        <v>265</v>
      </c>
      <c r="H160" s="19"/>
      <c r="I160" s="24" t="n">
        <f aca="false">IF(AND(ISNUMBER(B160),ISNUMBER(D160)),B160*D160,0)</f>
        <v>496</v>
      </c>
    </row>
    <row r="161" customFormat="false" ht="15" hidden="false" customHeight="false" outlineLevel="0" collapsed="false">
      <c r="A161" s="19" t="s">
        <v>282</v>
      </c>
      <c r="B161" s="22" t="n">
        <v>1300</v>
      </c>
      <c r="C161" s="19" t="n">
        <v>13</v>
      </c>
      <c r="D161" s="23" t="n">
        <v>0</v>
      </c>
      <c r="E161" s="19" t="s">
        <v>185</v>
      </c>
      <c r="F161" s="19" t="s">
        <v>140</v>
      </c>
      <c r="G161" s="19" t="s">
        <v>265</v>
      </c>
      <c r="H161" s="19"/>
      <c r="I161" s="24" t="n">
        <f aca="false">IF(AND(ISNUMBER(B161),ISNUMBER(D161)),B161*D161,0)</f>
        <v>0</v>
      </c>
    </row>
    <row r="162" customFormat="false" ht="15" hidden="false" customHeight="false" outlineLevel="0" collapsed="false">
      <c r="A162" s="19" t="s">
        <v>283</v>
      </c>
      <c r="B162" s="22" t="n">
        <v>1300</v>
      </c>
      <c r="C162" s="19" t="n">
        <v>22</v>
      </c>
      <c r="D162" s="23" t="n">
        <v>1.02</v>
      </c>
      <c r="E162" s="19" t="s">
        <v>284</v>
      </c>
      <c r="F162" s="19" t="s">
        <v>140</v>
      </c>
      <c r="G162" s="19" t="s">
        <v>265</v>
      </c>
      <c r="H162" s="19"/>
      <c r="I162" s="24" t="n">
        <f aca="false">IF(AND(ISNUMBER(B162),ISNUMBER(D162)),B162*D162,0)</f>
        <v>1326</v>
      </c>
    </row>
    <row r="163" customFormat="false" ht="15" hidden="false" customHeight="false" outlineLevel="0" collapsed="false">
      <c r="A163" s="19" t="s">
        <v>285</v>
      </c>
      <c r="B163" s="22" t="n">
        <v>1300</v>
      </c>
      <c r="C163" s="19" t="n">
        <v>18</v>
      </c>
      <c r="D163" s="23" t="n">
        <v>0.47</v>
      </c>
      <c r="E163" s="19"/>
      <c r="F163" s="19" t="s">
        <v>161</v>
      </c>
      <c r="G163" s="19" t="s">
        <v>265</v>
      </c>
      <c r="H163" s="19"/>
      <c r="I163" s="24" t="n">
        <f aca="false">IF(AND(ISNUMBER(B163),ISNUMBER(D163)),B163*D163,0)</f>
        <v>611</v>
      </c>
    </row>
    <row r="164" customFormat="false" ht="15" hidden="false" customHeight="false" outlineLevel="0" collapsed="false">
      <c r="A164" s="19" t="s">
        <v>286</v>
      </c>
      <c r="B164" s="22" t="n">
        <v>1300</v>
      </c>
      <c r="C164" s="19" t="n">
        <v>18</v>
      </c>
      <c r="D164" s="23" t="n">
        <v>0.47</v>
      </c>
      <c r="E164" s="19" t="s">
        <v>135</v>
      </c>
      <c r="F164" s="19" t="s">
        <v>161</v>
      </c>
      <c r="G164" s="19" t="s">
        <v>265</v>
      </c>
      <c r="H164" s="19"/>
      <c r="I164" s="24" t="n">
        <f aca="false">IF(AND(ISNUMBER(B164),ISNUMBER(D164)),B164*D164,0)</f>
        <v>611</v>
      </c>
    </row>
    <row r="165" customFormat="false" ht="15" hidden="false" customHeight="false" outlineLevel="0" collapsed="false">
      <c r="A165" s="19" t="s">
        <v>287</v>
      </c>
      <c r="B165" s="22" t="n">
        <v>1300</v>
      </c>
      <c r="C165" s="19" t="n">
        <v>27</v>
      </c>
      <c r="D165" s="23" t="n">
        <v>0.47</v>
      </c>
      <c r="E165" s="19" t="s">
        <v>135</v>
      </c>
      <c r="F165" s="19" t="s">
        <v>161</v>
      </c>
      <c r="G165" s="19" t="s">
        <v>265</v>
      </c>
      <c r="H165" s="19"/>
      <c r="I165" s="24" t="n">
        <f aca="false">IF(AND(ISNUMBER(B165),ISNUMBER(D165)),B165*D165,0)</f>
        <v>611</v>
      </c>
    </row>
    <row r="166" customFormat="false" ht="15" hidden="false" customHeight="false" outlineLevel="0" collapsed="false">
      <c r="A166" s="19" t="s">
        <v>288</v>
      </c>
      <c r="B166" s="22" t="n">
        <v>1300</v>
      </c>
      <c r="C166" s="19" t="n">
        <v>18</v>
      </c>
      <c r="D166" s="23" t="n">
        <v>0</v>
      </c>
      <c r="E166" s="19" t="s">
        <v>157</v>
      </c>
      <c r="F166" s="19" t="s">
        <v>136</v>
      </c>
      <c r="G166" s="19" t="s">
        <v>265</v>
      </c>
      <c r="H166" s="19" t="s">
        <v>102</v>
      </c>
      <c r="I166" s="24" t="n">
        <f aca="false">IF(AND(ISNUMBER(B166),ISNUMBER(D166)),B166*D166,0)</f>
        <v>0</v>
      </c>
    </row>
    <row r="167" customFormat="false" ht="15" hidden="false" customHeight="false" outlineLevel="0" collapsed="false">
      <c r="A167" s="19" t="s">
        <v>289</v>
      </c>
      <c r="B167" s="22" t="n">
        <v>1000</v>
      </c>
      <c r="C167" s="19" t="n">
        <v>28</v>
      </c>
      <c r="D167" s="23" t="n">
        <v>0.44</v>
      </c>
      <c r="E167" s="19" t="s">
        <v>290</v>
      </c>
      <c r="F167" s="19" t="s">
        <v>161</v>
      </c>
      <c r="G167" s="19" t="s">
        <v>265</v>
      </c>
      <c r="H167" s="19"/>
      <c r="I167" s="24" t="n">
        <f aca="false">IF(AND(ISNUMBER(B167),ISNUMBER(D167)),B167*D167,0)</f>
        <v>440</v>
      </c>
    </row>
    <row r="168" customFormat="false" ht="15" hidden="false" customHeight="false" outlineLevel="0" collapsed="false">
      <c r="A168" s="19" t="s">
        <v>291</v>
      </c>
      <c r="B168" s="22" t="n">
        <v>1000</v>
      </c>
      <c r="C168" s="19" t="n">
        <v>26</v>
      </c>
      <c r="D168" s="23" t="n">
        <v>0.52</v>
      </c>
      <c r="E168" s="19" t="s">
        <v>168</v>
      </c>
      <c r="F168" s="19" t="s">
        <v>161</v>
      </c>
      <c r="G168" s="19" t="s">
        <v>265</v>
      </c>
      <c r="H168" s="19"/>
      <c r="I168" s="24" t="n">
        <f aca="false">IF(AND(ISNUMBER(B168),ISNUMBER(D168)),B168*D168,0)</f>
        <v>520</v>
      </c>
    </row>
    <row r="169" customFormat="false" ht="15" hidden="false" customHeight="false" outlineLevel="0" collapsed="false">
      <c r="A169" s="19" t="s">
        <v>292</v>
      </c>
      <c r="B169" s="22" t="n">
        <v>1000</v>
      </c>
      <c r="C169" s="19" t="n">
        <v>19</v>
      </c>
      <c r="D169" s="23" t="n">
        <v>0.41</v>
      </c>
      <c r="E169" s="19" t="s">
        <v>168</v>
      </c>
      <c r="F169" s="19" t="s">
        <v>161</v>
      </c>
      <c r="G169" s="19" t="s">
        <v>265</v>
      </c>
      <c r="H169" s="19"/>
      <c r="I169" s="24" t="n">
        <f aca="false">IF(AND(ISNUMBER(B169),ISNUMBER(D169)),B169*D169,0)</f>
        <v>410</v>
      </c>
    </row>
    <row r="170" customFormat="false" ht="15" hidden="false" customHeight="false" outlineLevel="0" collapsed="false">
      <c r="A170" s="19" t="s">
        <v>293</v>
      </c>
      <c r="B170" s="22" t="n">
        <v>1000</v>
      </c>
      <c r="C170" s="19" t="n">
        <v>21</v>
      </c>
      <c r="D170" s="23" t="n">
        <v>0.41</v>
      </c>
      <c r="E170" s="19" t="s">
        <v>168</v>
      </c>
      <c r="F170" s="19" t="s">
        <v>161</v>
      </c>
      <c r="G170" s="19" t="s">
        <v>265</v>
      </c>
      <c r="H170" s="19"/>
      <c r="I170" s="24" t="n">
        <f aca="false">IF(AND(ISNUMBER(B170),ISNUMBER(D170)),B170*D170,0)</f>
        <v>410</v>
      </c>
    </row>
    <row r="171" customFormat="false" ht="15" hidden="false" customHeight="false" outlineLevel="0" collapsed="false">
      <c r="A171" s="19" t="s">
        <v>294</v>
      </c>
      <c r="B171" s="22" t="n">
        <v>1000</v>
      </c>
      <c r="C171" s="19" t="n">
        <v>26</v>
      </c>
      <c r="D171" s="23" t="n">
        <v>0.43</v>
      </c>
      <c r="E171" s="19" t="s">
        <v>175</v>
      </c>
      <c r="F171" s="19" t="s">
        <v>161</v>
      </c>
      <c r="G171" s="19" t="s">
        <v>265</v>
      </c>
      <c r="H171" s="19"/>
      <c r="I171" s="24" t="n">
        <f aca="false">IF(AND(ISNUMBER(B171),ISNUMBER(D171)),B171*D171,0)</f>
        <v>430</v>
      </c>
    </row>
    <row r="172" customFormat="false" ht="15" hidden="false" customHeight="false" outlineLevel="0" collapsed="false">
      <c r="A172" s="19" t="s">
        <v>295</v>
      </c>
      <c r="B172" s="22" t="n">
        <v>1000</v>
      </c>
      <c r="C172" s="19" t="n">
        <v>19</v>
      </c>
      <c r="D172" s="23" t="n">
        <v>0.51</v>
      </c>
      <c r="E172" s="19" t="s">
        <v>135</v>
      </c>
      <c r="F172" s="19" t="s">
        <v>161</v>
      </c>
      <c r="G172" s="19" t="s">
        <v>265</v>
      </c>
      <c r="H172" s="19"/>
      <c r="I172" s="24" t="n">
        <f aca="false">IF(AND(ISNUMBER(B172),ISNUMBER(D172)),B172*D172,0)</f>
        <v>510</v>
      </c>
    </row>
    <row r="173" customFormat="false" ht="15" hidden="false" customHeight="false" outlineLevel="0" collapsed="false">
      <c r="A173" s="19" t="s">
        <v>108</v>
      </c>
      <c r="B173" s="22" t="n">
        <v>1000</v>
      </c>
      <c r="C173" s="19" t="n">
        <v>14</v>
      </c>
      <c r="D173" s="23" t="n">
        <v>0.6</v>
      </c>
      <c r="E173" s="19" t="s">
        <v>145</v>
      </c>
      <c r="F173" s="19" t="s">
        <v>136</v>
      </c>
      <c r="G173" s="19" t="s">
        <v>265</v>
      </c>
      <c r="H173" s="19" t="s">
        <v>106</v>
      </c>
      <c r="I173" s="24" t="n">
        <f aca="false">IF(AND(ISNUMBER(B173),ISNUMBER(D173)),B173*D173,0)</f>
        <v>600</v>
      </c>
    </row>
    <row r="174" customFormat="false" ht="15" hidden="false" customHeight="false" outlineLevel="0" collapsed="false">
      <c r="A174" s="19" t="s">
        <v>296</v>
      </c>
      <c r="B174" s="22" t="n">
        <v>1000</v>
      </c>
      <c r="C174" s="19" t="n">
        <v>27</v>
      </c>
      <c r="D174" s="23" t="n">
        <v>0.84</v>
      </c>
      <c r="E174" s="19" t="s">
        <v>135</v>
      </c>
      <c r="F174" s="19" t="s">
        <v>136</v>
      </c>
      <c r="G174" s="19" t="s">
        <v>265</v>
      </c>
      <c r="H174" s="19" t="s">
        <v>102</v>
      </c>
      <c r="I174" s="24" t="n">
        <f aca="false">IF(AND(ISNUMBER(B174),ISNUMBER(D174)),B174*D174,0)</f>
        <v>840</v>
      </c>
    </row>
    <row r="175" customFormat="false" ht="15" hidden="false" customHeight="false" outlineLevel="0" collapsed="false">
      <c r="A175" s="19" t="s">
        <v>297</v>
      </c>
      <c r="B175" s="22" t="n">
        <v>1000</v>
      </c>
      <c r="C175" s="19" t="n">
        <v>28</v>
      </c>
      <c r="D175" s="23" t="n">
        <v>0.67</v>
      </c>
      <c r="E175" s="19" t="s">
        <v>145</v>
      </c>
      <c r="F175" s="19" t="s">
        <v>136</v>
      </c>
      <c r="G175" s="19" t="s">
        <v>265</v>
      </c>
      <c r="H175" s="19" t="s">
        <v>102</v>
      </c>
      <c r="I175" s="24" t="n">
        <f aca="false">IF(AND(ISNUMBER(B175),ISNUMBER(D175)),B175*D175,0)</f>
        <v>670</v>
      </c>
    </row>
    <row r="176" customFormat="false" ht="15" hidden="false" customHeight="false" outlineLevel="0" collapsed="false">
      <c r="A176" s="19" t="s">
        <v>298</v>
      </c>
      <c r="B176" s="22" t="n">
        <v>1000</v>
      </c>
      <c r="C176" s="19" t="n">
        <v>15</v>
      </c>
      <c r="D176" s="23" t="n">
        <v>0.47</v>
      </c>
      <c r="E176" s="19" t="s">
        <v>145</v>
      </c>
      <c r="F176" s="19" t="s">
        <v>136</v>
      </c>
      <c r="G176" s="19" t="s">
        <v>265</v>
      </c>
      <c r="H176" s="19" t="s">
        <v>106</v>
      </c>
      <c r="I176" s="24" t="n">
        <f aca="false">IF(AND(ISNUMBER(B176),ISNUMBER(D176)),B176*D176,0)</f>
        <v>470</v>
      </c>
    </row>
    <row r="177" customFormat="false" ht="15" hidden="false" customHeight="false" outlineLevel="0" collapsed="false">
      <c r="A177" s="19" t="s">
        <v>299</v>
      </c>
      <c r="B177" s="22" t="n">
        <v>1000</v>
      </c>
      <c r="C177" s="19" t="n">
        <v>15</v>
      </c>
      <c r="D177" s="23" t="n">
        <v>0.47</v>
      </c>
      <c r="E177" s="19" t="s">
        <v>135</v>
      </c>
      <c r="F177" s="19" t="s">
        <v>136</v>
      </c>
      <c r="G177" s="19" t="s">
        <v>265</v>
      </c>
      <c r="H177" s="19" t="s">
        <v>106</v>
      </c>
      <c r="I177" s="24" t="n">
        <f aca="false">IF(AND(ISNUMBER(B177),ISNUMBER(D177)),B177*D177,0)</f>
        <v>470</v>
      </c>
    </row>
    <row r="178" customFormat="false" ht="15" hidden="false" customHeight="false" outlineLevel="0" collapsed="false">
      <c r="A178" s="19" t="s">
        <v>300</v>
      </c>
      <c r="B178" s="22" t="n">
        <v>1000</v>
      </c>
      <c r="C178" s="19" t="n">
        <v>15</v>
      </c>
      <c r="D178" s="23" t="n">
        <v>0.47</v>
      </c>
      <c r="E178" s="19" t="s">
        <v>145</v>
      </c>
      <c r="F178" s="19" t="s">
        <v>136</v>
      </c>
      <c r="G178" s="19" t="s">
        <v>265</v>
      </c>
      <c r="H178" s="19" t="s">
        <v>106</v>
      </c>
      <c r="I178" s="24" t="n">
        <f aca="false">IF(AND(ISNUMBER(B178),ISNUMBER(D178)),B178*D178,0)</f>
        <v>470</v>
      </c>
    </row>
    <row r="179" customFormat="false" ht="15" hidden="false" customHeight="false" outlineLevel="0" collapsed="false">
      <c r="A179" s="19" t="s">
        <v>301</v>
      </c>
      <c r="B179" s="22" t="n">
        <v>880</v>
      </c>
      <c r="C179" s="19" t="n">
        <v>28</v>
      </c>
      <c r="D179" s="23" t="n">
        <v>1.36</v>
      </c>
      <c r="E179" s="19" t="s">
        <v>185</v>
      </c>
      <c r="F179" s="19" t="s">
        <v>140</v>
      </c>
      <c r="G179" s="19" t="s">
        <v>265</v>
      </c>
      <c r="H179" s="19"/>
      <c r="I179" s="24" t="n">
        <f aca="false">IF(AND(ISNUMBER(B179),ISNUMBER(D179)),B179*D179,0)</f>
        <v>1196.8</v>
      </c>
    </row>
    <row r="180" customFormat="false" ht="15" hidden="false" customHeight="false" outlineLevel="0" collapsed="false">
      <c r="A180" s="19" t="s">
        <v>302</v>
      </c>
      <c r="B180" s="22" t="n">
        <v>880</v>
      </c>
      <c r="C180" s="19" t="n">
        <v>20</v>
      </c>
      <c r="D180" s="23" t="n">
        <v>0.6</v>
      </c>
      <c r="E180" s="19" t="s">
        <v>185</v>
      </c>
      <c r="F180" s="19" t="s">
        <v>140</v>
      </c>
      <c r="G180" s="19" t="s">
        <v>265</v>
      </c>
      <c r="H180" s="19"/>
      <c r="I180" s="24" t="n">
        <f aca="false">IF(AND(ISNUMBER(B180),ISNUMBER(D180)),B180*D180,0)</f>
        <v>528</v>
      </c>
    </row>
    <row r="181" customFormat="false" ht="15" hidden="false" customHeight="false" outlineLevel="0" collapsed="false">
      <c r="A181" s="19" t="s">
        <v>303</v>
      </c>
      <c r="B181" s="22" t="n">
        <v>880</v>
      </c>
      <c r="C181" s="19" t="n">
        <v>27</v>
      </c>
      <c r="D181" s="23" t="n">
        <v>0.52</v>
      </c>
      <c r="E181" s="19" t="s">
        <v>185</v>
      </c>
      <c r="F181" s="19" t="s">
        <v>161</v>
      </c>
      <c r="G181" s="19" t="s">
        <v>265</v>
      </c>
      <c r="H181" s="19"/>
      <c r="I181" s="24" t="n">
        <f aca="false">IF(AND(ISNUMBER(B181),ISNUMBER(D181)),B181*D181,0)</f>
        <v>457.6</v>
      </c>
    </row>
    <row r="182" customFormat="false" ht="15" hidden="false" customHeight="false" outlineLevel="0" collapsed="false">
      <c r="A182" s="19" t="s">
        <v>304</v>
      </c>
      <c r="B182" s="22" t="n">
        <v>880</v>
      </c>
      <c r="C182" s="19" t="n">
        <v>12</v>
      </c>
      <c r="D182" s="23" t="n">
        <v>0.28</v>
      </c>
      <c r="E182" s="19" t="s">
        <v>157</v>
      </c>
      <c r="F182" s="19" t="s">
        <v>161</v>
      </c>
      <c r="G182" s="19" t="s">
        <v>265</v>
      </c>
      <c r="H182" s="19"/>
      <c r="I182" s="24" t="n">
        <f aca="false">IF(AND(ISNUMBER(B182),ISNUMBER(D182)),B182*D182,0)</f>
        <v>246.4</v>
      </c>
    </row>
    <row r="183" customFormat="false" ht="15" hidden="false" customHeight="false" outlineLevel="0" collapsed="false">
      <c r="A183" s="19" t="s">
        <v>305</v>
      </c>
      <c r="B183" s="22" t="n">
        <v>880</v>
      </c>
      <c r="C183" s="19" t="n">
        <v>10</v>
      </c>
      <c r="D183" s="23" t="n">
        <v>0.26</v>
      </c>
      <c r="E183" s="19" t="s">
        <v>135</v>
      </c>
      <c r="F183" s="19" t="s">
        <v>161</v>
      </c>
      <c r="G183" s="19" t="s">
        <v>265</v>
      </c>
      <c r="H183" s="19"/>
      <c r="I183" s="24" t="n">
        <f aca="false">IF(AND(ISNUMBER(B183),ISNUMBER(D183)),B183*D183,0)</f>
        <v>228.8</v>
      </c>
    </row>
    <row r="184" customFormat="false" ht="15" hidden="false" customHeight="false" outlineLevel="0" collapsed="false">
      <c r="A184" s="19" t="s">
        <v>306</v>
      </c>
      <c r="B184" s="22" t="n">
        <v>880</v>
      </c>
      <c r="C184" s="19" t="n">
        <v>23</v>
      </c>
      <c r="D184" s="23" t="n">
        <v>0</v>
      </c>
      <c r="E184" s="19" t="s">
        <v>157</v>
      </c>
      <c r="F184" s="19" t="s">
        <v>161</v>
      </c>
      <c r="G184" s="19" t="s">
        <v>265</v>
      </c>
      <c r="H184" s="19"/>
      <c r="I184" s="24" t="n">
        <f aca="false">IF(AND(ISNUMBER(B184),ISNUMBER(D184)),B184*D184,0)</f>
        <v>0</v>
      </c>
    </row>
    <row r="185" customFormat="false" ht="15" hidden="false" customHeight="false" outlineLevel="0" collapsed="false">
      <c r="A185" s="19" t="s">
        <v>307</v>
      </c>
      <c r="B185" s="22" t="n">
        <v>880</v>
      </c>
      <c r="C185" s="19" t="n">
        <v>29</v>
      </c>
      <c r="D185" s="23" t="n">
        <v>0.59</v>
      </c>
      <c r="E185" s="19" t="s">
        <v>135</v>
      </c>
      <c r="F185" s="19" t="s">
        <v>136</v>
      </c>
      <c r="G185" s="19" t="s">
        <v>265</v>
      </c>
      <c r="H185" s="19"/>
      <c r="I185" s="24" t="n">
        <f aca="false">IF(AND(ISNUMBER(B185),ISNUMBER(D185)),B185*D185,0)</f>
        <v>519.2</v>
      </c>
    </row>
    <row r="186" customFormat="false" ht="15" hidden="false" customHeight="false" outlineLevel="0" collapsed="false">
      <c r="A186" s="19" t="s">
        <v>308</v>
      </c>
      <c r="B186" s="22" t="n">
        <v>880</v>
      </c>
      <c r="C186" s="19" t="n">
        <v>12</v>
      </c>
      <c r="D186" s="23" t="n">
        <v>0.57</v>
      </c>
      <c r="E186" s="19" t="s">
        <v>135</v>
      </c>
      <c r="F186" s="19" t="s">
        <v>136</v>
      </c>
      <c r="G186" s="19" t="s">
        <v>265</v>
      </c>
      <c r="H186" s="19" t="s">
        <v>106</v>
      </c>
      <c r="I186" s="24" t="n">
        <f aca="false">IF(AND(ISNUMBER(B186),ISNUMBER(D186)),B186*D186,0)</f>
        <v>501.6</v>
      </c>
    </row>
    <row r="187" customFormat="false" ht="15" hidden="false" customHeight="false" outlineLevel="0" collapsed="false">
      <c r="A187" s="19" t="s">
        <v>309</v>
      </c>
      <c r="B187" s="22" t="n">
        <v>720</v>
      </c>
      <c r="C187" s="19" t="n">
        <v>17</v>
      </c>
      <c r="D187" s="23" t="n">
        <v>0.45</v>
      </c>
      <c r="E187" s="19" t="s">
        <v>168</v>
      </c>
      <c r="F187" s="19" t="s">
        <v>140</v>
      </c>
      <c r="G187" s="19" t="s">
        <v>265</v>
      </c>
      <c r="H187" s="19"/>
      <c r="I187" s="24" t="n">
        <f aca="false">IF(AND(ISNUMBER(B187),ISNUMBER(D187)),B187*D187,0)</f>
        <v>324</v>
      </c>
    </row>
    <row r="188" customFormat="false" ht="15" hidden="false" customHeight="false" outlineLevel="0" collapsed="false">
      <c r="A188" s="19" t="s">
        <v>310</v>
      </c>
      <c r="B188" s="22" t="n">
        <v>720</v>
      </c>
      <c r="C188" s="19" t="n">
        <v>24</v>
      </c>
      <c r="D188" s="23" t="n">
        <v>0.51</v>
      </c>
      <c r="E188" s="19"/>
      <c r="F188" s="19" t="s">
        <v>140</v>
      </c>
      <c r="G188" s="19" t="s">
        <v>265</v>
      </c>
      <c r="H188" s="19"/>
      <c r="I188" s="24" t="n">
        <f aca="false">IF(AND(ISNUMBER(B188),ISNUMBER(D188)),B188*D188,0)</f>
        <v>367.2</v>
      </c>
    </row>
    <row r="189" customFormat="false" ht="15" hidden="false" customHeight="false" outlineLevel="0" collapsed="false">
      <c r="A189" s="19" t="s">
        <v>311</v>
      </c>
      <c r="B189" s="22" t="n">
        <v>720</v>
      </c>
      <c r="C189" s="19" t="n">
        <v>24</v>
      </c>
      <c r="D189" s="23" t="n">
        <v>0.56</v>
      </c>
      <c r="E189" s="19" t="s">
        <v>185</v>
      </c>
      <c r="F189" s="19" t="s">
        <v>161</v>
      </c>
      <c r="G189" s="19" t="s">
        <v>265</v>
      </c>
      <c r="H189" s="19"/>
      <c r="I189" s="24" t="n">
        <f aca="false">IF(AND(ISNUMBER(B189),ISNUMBER(D189)),B189*D189,0)</f>
        <v>403.2</v>
      </c>
    </row>
    <row r="190" customFormat="false" ht="15" hidden="false" customHeight="false" outlineLevel="0" collapsed="false">
      <c r="A190" s="19" t="s">
        <v>312</v>
      </c>
      <c r="B190" s="22" t="n">
        <v>720</v>
      </c>
      <c r="C190" s="19" t="n">
        <v>21</v>
      </c>
      <c r="D190" s="23" t="n">
        <v>0.51</v>
      </c>
      <c r="E190" s="19" t="s">
        <v>135</v>
      </c>
      <c r="F190" s="19" t="s">
        <v>161</v>
      </c>
      <c r="G190" s="19" t="s">
        <v>265</v>
      </c>
      <c r="H190" s="19"/>
      <c r="I190" s="24" t="n">
        <f aca="false">IF(AND(ISNUMBER(B190),ISNUMBER(D190)),B190*D190,0)</f>
        <v>367.2</v>
      </c>
    </row>
    <row r="191" customFormat="false" ht="15" hidden="false" customHeight="false" outlineLevel="0" collapsed="false">
      <c r="A191" s="19" t="s">
        <v>313</v>
      </c>
      <c r="B191" s="22" t="n">
        <v>720</v>
      </c>
      <c r="C191" s="19" t="n">
        <v>9</v>
      </c>
      <c r="D191" s="23" t="n">
        <v>0.18</v>
      </c>
      <c r="E191" s="19" t="s">
        <v>135</v>
      </c>
      <c r="F191" s="19" t="s">
        <v>161</v>
      </c>
      <c r="G191" s="19" t="s">
        <v>265</v>
      </c>
      <c r="H191" s="19"/>
      <c r="I191" s="24" t="n">
        <f aca="false">IF(AND(ISNUMBER(B191),ISNUMBER(D191)),B191*D191,0)</f>
        <v>129.6</v>
      </c>
    </row>
    <row r="192" customFormat="false" ht="15" hidden="false" customHeight="false" outlineLevel="0" collapsed="false">
      <c r="A192" s="19" t="s">
        <v>314</v>
      </c>
      <c r="B192" s="22" t="n">
        <v>720</v>
      </c>
      <c r="C192" s="19" t="n">
        <v>21</v>
      </c>
      <c r="D192" s="23" t="n">
        <v>1</v>
      </c>
      <c r="E192" s="19" t="s">
        <v>145</v>
      </c>
      <c r="F192" s="19" t="s">
        <v>140</v>
      </c>
      <c r="G192" s="19" t="s">
        <v>265</v>
      </c>
      <c r="H192" s="19"/>
      <c r="I192" s="24" t="n">
        <f aca="false">IF(AND(ISNUMBER(B192),ISNUMBER(D192)),B192*D192,0)</f>
        <v>720</v>
      </c>
    </row>
    <row r="193" customFormat="false" ht="15" hidden="false" customHeight="false" outlineLevel="0" collapsed="false">
      <c r="A193" s="19" t="s">
        <v>315</v>
      </c>
      <c r="B193" s="22" t="n">
        <v>720</v>
      </c>
      <c r="C193" s="19" t="n">
        <v>22</v>
      </c>
      <c r="D193" s="23" t="n">
        <v>0.65</v>
      </c>
      <c r="E193" s="19" t="s">
        <v>145</v>
      </c>
      <c r="F193" s="19" t="s">
        <v>140</v>
      </c>
      <c r="G193" s="19" t="s">
        <v>265</v>
      </c>
      <c r="H193" s="19"/>
      <c r="I193" s="24" t="n">
        <f aca="false">IF(AND(ISNUMBER(B193),ISNUMBER(D193)),B193*D193,0)</f>
        <v>468</v>
      </c>
    </row>
    <row r="194" customFormat="false" ht="15" hidden="false" customHeight="false" outlineLevel="0" collapsed="false">
      <c r="A194" s="19" t="s">
        <v>316</v>
      </c>
      <c r="B194" s="22" t="n">
        <v>720</v>
      </c>
      <c r="C194" s="19" t="n">
        <v>29</v>
      </c>
      <c r="D194" s="23" t="n">
        <v>0.57</v>
      </c>
      <c r="E194" s="19" t="s">
        <v>135</v>
      </c>
      <c r="F194" s="19" t="s">
        <v>136</v>
      </c>
      <c r="G194" s="19" t="s">
        <v>265</v>
      </c>
      <c r="H194" s="19"/>
      <c r="I194" s="24" t="n">
        <f aca="false">IF(AND(ISNUMBER(B194),ISNUMBER(D194)),B194*D194,0)</f>
        <v>410.4</v>
      </c>
    </row>
    <row r="195" customFormat="false" ht="15" hidden="false" customHeight="false" outlineLevel="0" collapsed="false">
      <c r="A195" s="19" t="s">
        <v>317</v>
      </c>
      <c r="B195" s="22" t="n">
        <v>720</v>
      </c>
      <c r="C195" s="19" t="n">
        <v>9</v>
      </c>
      <c r="D195" s="23" t="n">
        <v>0.89</v>
      </c>
      <c r="E195" s="19" t="s">
        <v>145</v>
      </c>
      <c r="F195" s="19" t="s">
        <v>136</v>
      </c>
      <c r="G195" s="19" t="s">
        <v>265</v>
      </c>
      <c r="H195" s="19"/>
      <c r="I195" s="24" t="n">
        <f aca="false">IF(AND(ISNUMBER(B195),ISNUMBER(D195)),B195*D195,0)</f>
        <v>640.8</v>
      </c>
    </row>
    <row r="196" customFormat="false" ht="15" hidden="false" customHeight="false" outlineLevel="0" collapsed="false">
      <c r="A196" s="19" t="s">
        <v>318</v>
      </c>
      <c r="B196" s="22" t="n">
        <v>590</v>
      </c>
      <c r="C196" s="19" t="n">
        <v>21</v>
      </c>
      <c r="D196" s="23" t="n">
        <v>0.37</v>
      </c>
      <c r="E196" s="19" t="s">
        <v>168</v>
      </c>
      <c r="F196" s="19" t="s">
        <v>140</v>
      </c>
      <c r="G196" s="19" t="s">
        <v>265</v>
      </c>
      <c r="H196" s="19"/>
      <c r="I196" s="24" t="n">
        <f aca="false">IF(AND(ISNUMBER(B196),ISNUMBER(D196)),B196*D196,0)</f>
        <v>218.3</v>
      </c>
    </row>
    <row r="197" customFormat="false" ht="15" hidden="false" customHeight="false" outlineLevel="0" collapsed="false">
      <c r="A197" s="19" t="s">
        <v>319</v>
      </c>
      <c r="B197" s="22" t="n">
        <v>590</v>
      </c>
      <c r="C197" s="19" t="n">
        <v>23</v>
      </c>
      <c r="D197" s="23" t="n">
        <v>1.02</v>
      </c>
      <c r="E197" s="19" t="s">
        <v>145</v>
      </c>
      <c r="F197" s="19" t="s">
        <v>140</v>
      </c>
      <c r="G197" s="19" t="s">
        <v>265</v>
      </c>
      <c r="H197" s="19"/>
      <c r="I197" s="24" t="n">
        <f aca="false">IF(AND(ISNUMBER(B197),ISNUMBER(D197)),B197*D197,0)</f>
        <v>601.8</v>
      </c>
    </row>
    <row r="198" customFormat="false" ht="15" hidden="false" customHeight="false" outlineLevel="0" collapsed="false">
      <c r="A198" s="19" t="s">
        <v>320</v>
      </c>
      <c r="B198" s="22" t="n">
        <v>590</v>
      </c>
      <c r="C198" s="19" t="n">
        <v>15</v>
      </c>
      <c r="D198" s="23" t="n">
        <v>0.45</v>
      </c>
      <c r="E198" s="19" t="s">
        <v>135</v>
      </c>
      <c r="F198" s="19" t="s">
        <v>161</v>
      </c>
      <c r="G198" s="19" t="s">
        <v>265</v>
      </c>
      <c r="H198" s="19"/>
      <c r="I198" s="24" t="n">
        <f aca="false">IF(AND(ISNUMBER(B198),ISNUMBER(D198)),B198*D198,0)</f>
        <v>265.5</v>
      </c>
    </row>
    <row r="199" customFormat="false" ht="15" hidden="false" customHeight="false" outlineLevel="0" collapsed="false">
      <c r="A199" s="19" t="s">
        <v>321</v>
      </c>
      <c r="B199" s="22" t="n">
        <v>590</v>
      </c>
      <c r="C199" s="19" t="n">
        <v>26</v>
      </c>
      <c r="D199" s="23" t="n">
        <v>0.85</v>
      </c>
      <c r="E199" s="19" t="s">
        <v>157</v>
      </c>
      <c r="F199" s="19" t="s">
        <v>161</v>
      </c>
      <c r="G199" s="19" t="s">
        <v>265</v>
      </c>
      <c r="H199" s="19"/>
      <c r="I199" s="24" t="n">
        <f aca="false">IF(AND(ISNUMBER(B199),ISNUMBER(D199)),B199*D199,0)</f>
        <v>501.5</v>
      </c>
    </row>
    <row r="200" customFormat="false" ht="15" hidden="false" customHeight="false" outlineLevel="0" collapsed="false">
      <c r="A200" s="19" t="s">
        <v>322</v>
      </c>
      <c r="B200" s="22" t="n">
        <v>590</v>
      </c>
      <c r="C200" s="19" t="n">
        <v>23</v>
      </c>
      <c r="D200" s="23" t="n">
        <v>0.33</v>
      </c>
      <c r="E200" s="19" t="s">
        <v>135</v>
      </c>
      <c r="F200" s="19" t="s">
        <v>161</v>
      </c>
      <c r="G200" s="19" t="s">
        <v>265</v>
      </c>
      <c r="H200" s="19"/>
      <c r="I200" s="24" t="n">
        <f aca="false">IF(AND(ISNUMBER(B200),ISNUMBER(D200)),B200*D200,0)</f>
        <v>194.7</v>
      </c>
    </row>
    <row r="201" customFormat="false" ht="15" hidden="false" customHeight="false" outlineLevel="0" collapsed="false">
      <c r="A201" s="19" t="s">
        <v>323</v>
      </c>
      <c r="B201" s="22" t="n">
        <v>590</v>
      </c>
      <c r="C201" s="19" t="n">
        <v>23</v>
      </c>
      <c r="D201" s="23" t="n">
        <v>0.43</v>
      </c>
      <c r="E201" s="19" t="s">
        <v>175</v>
      </c>
      <c r="F201" s="19" t="s">
        <v>161</v>
      </c>
      <c r="G201" s="19" t="s">
        <v>265</v>
      </c>
      <c r="H201" s="19"/>
      <c r="I201" s="24" t="n">
        <f aca="false">IF(AND(ISNUMBER(B201),ISNUMBER(D201)),B201*D201,0)</f>
        <v>253.7</v>
      </c>
    </row>
    <row r="202" customFormat="false" ht="15" hidden="false" customHeight="false" outlineLevel="0" collapsed="false">
      <c r="A202" s="19" t="s">
        <v>324</v>
      </c>
      <c r="B202" s="22" t="n">
        <v>590</v>
      </c>
      <c r="C202" s="19" t="n">
        <v>18</v>
      </c>
      <c r="D202" s="23" t="n">
        <v>0</v>
      </c>
      <c r="E202" s="19" t="s">
        <v>145</v>
      </c>
      <c r="F202" s="19" t="s">
        <v>161</v>
      </c>
      <c r="G202" s="19" t="s">
        <v>265</v>
      </c>
      <c r="H202" s="19"/>
      <c r="I202" s="24" t="n">
        <f aca="false">IF(AND(ISNUMBER(B202),ISNUMBER(D202)),B202*D202,0)</f>
        <v>0</v>
      </c>
    </row>
    <row r="203" customFormat="false" ht="15" hidden="false" customHeight="false" outlineLevel="0" collapsed="false">
      <c r="A203" s="19" t="s">
        <v>325</v>
      </c>
      <c r="B203" s="22" t="n">
        <v>590</v>
      </c>
      <c r="C203" s="19" t="n">
        <v>20</v>
      </c>
      <c r="D203" s="23" t="n">
        <v>1.34</v>
      </c>
      <c r="E203" s="19" t="s">
        <v>145</v>
      </c>
      <c r="F203" s="19" t="s">
        <v>140</v>
      </c>
      <c r="G203" s="19" t="s">
        <v>265</v>
      </c>
      <c r="H203" s="19"/>
      <c r="I203" s="24" t="n">
        <f aca="false">IF(AND(ISNUMBER(B203),ISNUMBER(D203)),B203*D203,0)</f>
        <v>790.6</v>
      </c>
    </row>
    <row r="204" customFormat="false" ht="15" hidden="false" customHeight="false" outlineLevel="0" collapsed="false">
      <c r="A204" s="19" t="s">
        <v>326</v>
      </c>
      <c r="B204" s="22" t="n">
        <v>590</v>
      </c>
      <c r="C204" s="19" t="n">
        <v>19</v>
      </c>
      <c r="D204" s="23" t="n">
        <v>0.5</v>
      </c>
      <c r="E204" s="19" t="s">
        <v>135</v>
      </c>
      <c r="F204" s="19" t="s">
        <v>136</v>
      </c>
      <c r="G204" s="19" t="s">
        <v>265</v>
      </c>
      <c r="H204" s="19"/>
      <c r="I204" s="24" t="n">
        <f aca="false">IF(AND(ISNUMBER(B204),ISNUMBER(D204)),B204*D204,0)</f>
        <v>295</v>
      </c>
    </row>
    <row r="205" customFormat="false" ht="15" hidden="false" customHeight="false" outlineLevel="0" collapsed="false">
      <c r="A205" s="19" t="s">
        <v>327</v>
      </c>
      <c r="B205" s="22" t="n">
        <v>590</v>
      </c>
      <c r="C205" s="19" t="n">
        <v>23</v>
      </c>
      <c r="D205" s="23" t="n">
        <v>0.8</v>
      </c>
      <c r="E205" s="19" t="s">
        <v>175</v>
      </c>
      <c r="F205" s="19" t="s">
        <v>136</v>
      </c>
      <c r="G205" s="19" t="s">
        <v>265</v>
      </c>
      <c r="H205" s="19"/>
      <c r="I205" s="24" t="n">
        <f aca="false">IF(AND(ISNUMBER(B205),ISNUMBER(D205)),B205*D205,0)</f>
        <v>472</v>
      </c>
    </row>
    <row r="206" customFormat="false" ht="15" hidden="false" customHeight="false" outlineLevel="0" collapsed="false">
      <c r="A206" s="19" t="s">
        <v>328</v>
      </c>
      <c r="B206" s="22" t="n">
        <v>590</v>
      </c>
      <c r="C206" s="19" t="n">
        <v>23</v>
      </c>
      <c r="D206" s="23" t="n">
        <v>0.64</v>
      </c>
      <c r="E206" s="19" t="s">
        <v>145</v>
      </c>
      <c r="F206" s="19" t="s">
        <v>136</v>
      </c>
      <c r="G206" s="19" t="s">
        <v>265</v>
      </c>
      <c r="H206" s="19"/>
      <c r="I206" s="24" t="n">
        <f aca="false">IF(AND(ISNUMBER(B206),ISNUMBER(D206)),B206*D206,0)</f>
        <v>377.6</v>
      </c>
    </row>
    <row r="207" customFormat="false" ht="15" hidden="false" customHeight="false" outlineLevel="0" collapsed="false">
      <c r="A207" s="19" t="s">
        <v>329</v>
      </c>
      <c r="B207" s="22" t="n">
        <v>590</v>
      </c>
      <c r="C207" s="19" t="n">
        <v>21</v>
      </c>
      <c r="D207" s="23" t="n">
        <v>0</v>
      </c>
      <c r="E207" s="19" t="s">
        <v>220</v>
      </c>
      <c r="F207" s="19" t="s">
        <v>136</v>
      </c>
      <c r="G207" s="19" t="s">
        <v>265</v>
      </c>
      <c r="H207" s="19"/>
      <c r="I207" s="24" t="n">
        <f aca="false">IF(AND(ISNUMBER(B207),ISNUMBER(D207)),B207*D207,0)</f>
        <v>0</v>
      </c>
    </row>
    <row r="208" customFormat="false" ht="15" hidden="false" customHeight="false" outlineLevel="0" collapsed="false">
      <c r="A208" s="19" t="s">
        <v>330</v>
      </c>
      <c r="B208" s="22" t="n">
        <v>590</v>
      </c>
      <c r="C208" s="19" t="n">
        <v>22</v>
      </c>
      <c r="D208" s="23" t="n">
        <v>0.64</v>
      </c>
      <c r="E208" s="19" t="s">
        <v>145</v>
      </c>
      <c r="F208" s="19" t="s">
        <v>136</v>
      </c>
      <c r="G208" s="19" t="s">
        <v>265</v>
      </c>
      <c r="H208" s="19"/>
      <c r="I208" s="24" t="n">
        <f aca="false">IF(AND(ISNUMBER(B208),ISNUMBER(D208)),B208*D208,0)</f>
        <v>377.6</v>
      </c>
    </row>
    <row r="209" customFormat="false" ht="15" hidden="false" customHeight="false" outlineLevel="0" collapsed="false">
      <c r="A209" s="19" t="s">
        <v>331</v>
      </c>
      <c r="B209" s="22" t="n">
        <v>590</v>
      </c>
      <c r="C209" s="19" t="n">
        <v>16</v>
      </c>
      <c r="D209" s="23" t="n">
        <v>0</v>
      </c>
      <c r="E209" s="19" t="s">
        <v>145</v>
      </c>
      <c r="F209" s="19" t="s">
        <v>136</v>
      </c>
      <c r="G209" s="19" t="s">
        <v>265</v>
      </c>
      <c r="H209" s="19"/>
      <c r="I209" s="24" t="n">
        <f aca="false">IF(AND(ISNUMBER(B209),ISNUMBER(D209)),B209*D209,0)</f>
        <v>0</v>
      </c>
    </row>
    <row r="210" customFormat="false" ht="15" hidden="false" customHeight="false" outlineLevel="0" collapsed="false">
      <c r="A210" s="19" t="s">
        <v>332</v>
      </c>
      <c r="B210" s="22" t="n">
        <v>480</v>
      </c>
      <c r="C210" s="19" t="n">
        <v>23</v>
      </c>
      <c r="D210" s="23" t="n">
        <v>2.48</v>
      </c>
      <c r="E210" s="19" t="s">
        <v>185</v>
      </c>
      <c r="F210" s="19" t="s">
        <v>140</v>
      </c>
      <c r="G210" s="19" t="s">
        <v>265</v>
      </c>
      <c r="H210" s="19"/>
      <c r="I210" s="24" t="n">
        <f aca="false">IF(AND(ISNUMBER(B210),ISNUMBER(D210)),B210*D210,0)</f>
        <v>1190.4</v>
      </c>
    </row>
    <row r="211" customFormat="false" ht="15" hidden="false" customHeight="false" outlineLevel="0" collapsed="false">
      <c r="A211" s="19" t="s">
        <v>333</v>
      </c>
      <c r="B211" s="22" t="n">
        <v>480</v>
      </c>
      <c r="C211" s="19" t="n">
        <v>23</v>
      </c>
      <c r="D211" s="23" t="n">
        <v>0.45</v>
      </c>
      <c r="E211" s="19" t="s">
        <v>290</v>
      </c>
      <c r="F211" s="19" t="s">
        <v>140</v>
      </c>
      <c r="G211" s="19" t="s">
        <v>265</v>
      </c>
      <c r="H211" s="19"/>
      <c r="I211" s="24" t="n">
        <f aca="false">IF(AND(ISNUMBER(B211),ISNUMBER(D211)),B211*D211,0)</f>
        <v>216</v>
      </c>
    </row>
    <row r="212" customFormat="false" ht="15" hidden="false" customHeight="false" outlineLevel="0" collapsed="false">
      <c r="A212" s="19" t="s">
        <v>334</v>
      </c>
      <c r="B212" s="22" t="n">
        <v>480</v>
      </c>
      <c r="C212" s="19" t="n">
        <v>27</v>
      </c>
      <c r="D212" s="23" t="n">
        <v>0.58</v>
      </c>
      <c r="E212" s="19" t="s">
        <v>168</v>
      </c>
      <c r="F212" s="19" t="s">
        <v>140</v>
      </c>
      <c r="G212" s="19" t="s">
        <v>265</v>
      </c>
      <c r="H212" s="19"/>
      <c r="I212" s="24" t="n">
        <f aca="false">IF(AND(ISNUMBER(B212),ISNUMBER(D212)),B212*D212,0)</f>
        <v>278.4</v>
      </c>
    </row>
    <row r="213" customFormat="false" ht="15" hidden="false" customHeight="false" outlineLevel="0" collapsed="false">
      <c r="A213" s="19" t="s">
        <v>335</v>
      </c>
      <c r="B213" s="22" t="n">
        <v>480</v>
      </c>
      <c r="C213" s="19" t="n">
        <v>21</v>
      </c>
      <c r="D213" s="23" t="n">
        <v>0</v>
      </c>
      <c r="E213" s="19" t="s">
        <v>145</v>
      </c>
      <c r="F213" s="19" t="s">
        <v>140</v>
      </c>
      <c r="G213" s="19" t="s">
        <v>265</v>
      </c>
      <c r="H213" s="19"/>
      <c r="I213" s="24" t="n">
        <f aca="false">IF(AND(ISNUMBER(B213),ISNUMBER(D213)),B213*D213,0)</f>
        <v>0</v>
      </c>
    </row>
    <row r="214" customFormat="false" ht="15" hidden="false" customHeight="false" outlineLevel="0" collapsed="false">
      <c r="A214" s="19" t="s">
        <v>336</v>
      </c>
      <c r="B214" s="22" t="n">
        <v>480</v>
      </c>
      <c r="C214" s="19" t="n">
        <v>18</v>
      </c>
      <c r="D214" s="23" t="n">
        <v>0.91</v>
      </c>
      <c r="E214" s="19" t="s">
        <v>135</v>
      </c>
      <c r="F214" s="19" t="s">
        <v>140</v>
      </c>
      <c r="G214" s="19" t="s">
        <v>265</v>
      </c>
      <c r="H214" s="19"/>
      <c r="I214" s="24" t="n">
        <f aca="false">IF(AND(ISNUMBER(B214),ISNUMBER(D214)),B214*D214,0)</f>
        <v>436.8</v>
      </c>
    </row>
    <row r="215" customFormat="false" ht="15" hidden="false" customHeight="false" outlineLevel="0" collapsed="false">
      <c r="A215" s="19" t="s">
        <v>337</v>
      </c>
      <c r="B215" s="22" t="n">
        <v>480</v>
      </c>
      <c r="C215" s="19" t="n">
        <v>25</v>
      </c>
      <c r="D215" s="23" t="n">
        <v>0.49</v>
      </c>
      <c r="E215" s="19" t="s">
        <v>168</v>
      </c>
      <c r="F215" s="19" t="s">
        <v>161</v>
      </c>
      <c r="G215" s="19" t="s">
        <v>265</v>
      </c>
      <c r="H215" s="19"/>
      <c r="I215" s="24" t="n">
        <f aca="false">IF(AND(ISNUMBER(B215),ISNUMBER(D215)),B215*D215,0)</f>
        <v>235.2</v>
      </c>
    </row>
    <row r="216" customFormat="false" ht="15" hidden="false" customHeight="false" outlineLevel="0" collapsed="false">
      <c r="A216" s="19" t="s">
        <v>338</v>
      </c>
      <c r="B216" s="22" t="n">
        <v>480</v>
      </c>
      <c r="C216" s="19" t="n">
        <v>23</v>
      </c>
      <c r="D216" s="23" t="n">
        <v>1.23</v>
      </c>
      <c r="E216" s="19" t="s">
        <v>168</v>
      </c>
      <c r="F216" s="19" t="s">
        <v>161</v>
      </c>
      <c r="G216" s="19" t="s">
        <v>265</v>
      </c>
      <c r="H216" s="19"/>
      <c r="I216" s="24" t="n">
        <f aca="false">IF(AND(ISNUMBER(B216),ISNUMBER(D216)),B216*D216,0)</f>
        <v>590.4</v>
      </c>
    </row>
    <row r="217" customFormat="false" ht="15" hidden="false" customHeight="false" outlineLevel="0" collapsed="false">
      <c r="A217" s="19" t="s">
        <v>339</v>
      </c>
      <c r="B217" s="22" t="n">
        <v>480</v>
      </c>
      <c r="C217" s="19" t="n">
        <v>23</v>
      </c>
      <c r="D217" s="23" t="n">
        <v>0</v>
      </c>
      <c r="E217" s="19" t="s">
        <v>168</v>
      </c>
      <c r="F217" s="19" t="s">
        <v>161</v>
      </c>
      <c r="G217" s="19" t="s">
        <v>265</v>
      </c>
      <c r="H217" s="19"/>
      <c r="I217" s="24" t="n">
        <f aca="false">IF(AND(ISNUMBER(B217),ISNUMBER(D217)),B217*D217,0)</f>
        <v>0</v>
      </c>
    </row>
    <row r="218" customFormat="false" ht="15" hidden="false" customHeight="false" outlineLevel="0" collapsed="false">
      <c r="A218" s="19" t="s">
        <v>340</v>
      </c>
      <c r="B218" s="22" t="n">
        <v>480</v>
      </c>
      <c r="C218" s="19" t="n">
        <v>24</v>
      </c>
      <c r="D218" s="23" t="n">
        <v>0.49</v>
      </c>
      <c r="E218" s="19" t="s">
        <v>135</v>
      </c>
      <c r="F218" s="19" t="s">
        <v>161</v>
      </c>
      <c r="G218" s="19" t="s">
        <v>265</v>
      </c>
      <c r="H218" s="19"/>
      <c r="I218" s="24" t="n">
        <f aca="false">IF(AND(ISNUMBER(B218),ISNUMBER(D218)),B218*D218,0)</f>
        <v>235.2</v>
      </c>
    </row>
    <row r="219" customFormat="false" ht="15" hidden="false" customHeight="false" outlineLevel="0" collapsed="false">
      <c r="A219" s="19" t="s">
        <v>341</v>
      </c>
      <c r="B219" s="22" t="n">
        <v>480</v>
      </c>
      <c r="C219" s="19" t="n">
        <v>20</v>
      </c>
      <c r="D219" s="23" t="n">
        <v>0.3</v>
      </c>
      <c r="E219" s="19" t="s">
        <v>135</v>
      </c>
      <c r="F219" s="19" t="s">
        <v>161</v>
      </c>
      <c r="G219" s="19" t="s">
        <v>265</v>
      </c>
      <c r="H219" s="19"/>
      <c r="I219" s="24" t="n">
        <f aca="false">IF(AND(ISNUMBER(B219),ISNUMBER(D219)),B219*D219,0)</f>
        <v>144</v>
      </c>
    </row>
    <row r="220" customFormat="false" ht="15" hidden="false" customHeight="false" outlineLevel="0" collapsed="false">
      <c r="A220" s="19" t="s">
        <v>342</v>
      </c>
      <c r="B220" s="22" t="n">
        <v>480</v>
      </c>
      <c r="C220" s="19" t="n">
        <v>26</v>
      </c>
      <c r="D220" s="23" t="n">
        <v>0.37</v>
      </c>
      <c r="E220" s="19" t="s">
        <v>135</v>
      </c>
      <c r="F220" s="19" t="s">
        <v>161</v>
      </c>
      <c r="G220" s="19" t="s">
        <v>265</v>
      </c>
      <c r="H220" s="19"/>
      <c r="I220" s="24" t="n">
        <f aca="false">IF(AND(ISNUMBER(B220),ISNUMBER(D220)),B220*D220,0)</f>
        <v>177.6</v>
      </c>
    </row>
    <row r="221" customFormat="false" ht="15" hidden="false" customHeight="false" outlineLevel="0" collapsed="false">
      <c r="A221" s="19" t="s">
        <v>343</v>
      </c>
      <c r="B221" s="22" t="n">
        <v>480</v>
      </c>
      <c r="C221" s="19" t="n">
        <v>21</v>
      </c>
      <c r="D221" s="23" t="n">
        <v>1.16</v>
      </c>
      <c r="E221" s="19" t="s">
        <v>135</v>
      </c>
      <c r="F221" s="19" t="s">
        <v>161</v>
      </c>
      <c r="G221" s="19" t="s">
        <v>265</v>
      </c>
      <c r="H221" s="19"/>
      <c r="I221" s="24" t="n">
        <f aca="false">IF(AND(ISNUMBER(B221),ISNUMBER(D221)),B221*D221,0)</f>
        <v>556.8</v>
      </c>
    </row>
    <row r="222" customFormat="false" ht="15" hidden="false" customHeight="false" outlineLevel="0" collapsed="false">
      <c r="A222" s="19" t="s">
        <v>344</v>
      </c>
      <c r="B222" s="22" t="n">
        <v>480</v>
      </c>
      <c r="C222" s="19" t="n">
        <v>11</v>
      </c>
      <c r="D222" s="23" t="n">
        <v>0.25</v>
      </c>
      <c r="E222" s="19" t="s">
        <v>135</v>
      </c>
      <c r="F222" s="19" t="s">
        <v>161</v>
      </c>
      <c r="G222" s="19" t="s">
        <v>265</v>
      </c>
      <c r="H222" s="19"/>
      <c r="I222" s="24" t="n">
        <f aca="false">IF(AND(ISNUMBER(B222),ISNUMBER(D222)),B222*D222,0)</f>
        <v>120</v>
      </c>
    </row>
    <row r="223" customFormat="false" ht="15" hidden="false" customHeight="false" outlineLevel="0" collapsed="false">
      <c r="A223" s="19" t="s">
        <v>345</v>
      </c>
      <c r="B223" s="22" t="n">
        <v>480</v>
      </c>
      <c r="C223" s="19" t="n">
        <v>25</v>
      </c>
      <c r="D223" s="23" t="n">
        <v>1.05</v>
      </c>
      <c r="E223" s="19" t="s">
        <v>145</v>
      </c>
      <c r="F223" s="19" t="s">
        <v>161</v>
      </c>
      <c r="G223" s="19" t="s">
        <v>265</v>
      </c>
      <c r="H223" s="19"/>
      <c r="I223" s="24" t="n">
        <f aca="false">IF(AND(ISNUMBER(B223),ISNUMBER(D223)),B223*D223,0)</f>
        <v>504</v>
      </c>
    </row>
    <row r="224" customFormat="false" ht="15" hidden="false" customHeight="false" outlineLevel="0" collapsed="false">
      <c r="A224" s="19" t="s">
        <v>346</v>
      </c>
      <c r="B224" s="22" t="n">
        <v>480</v>
      </c>
      <c r="C224" s="19" t="n">
        <v>17</v>
      </c>
      <c r="D224" s="23" t="n">
        <v>0</v>
      </c>
      <c r="E224" s="19" t="s">
        <v>135</v>
      </c>
      <c r="F224" s="19" t="s">
        <v>140</v>
      </c>
      <c r="G224" s="19" t="s">
        <v>265</v>
      </c>
      <c r="H224" s="19"/>
      <c r="I224" s="24" t="n">
        <f aca="false">IF(AND(ISNUMBER(B224),ISNUMBER(D224)),B224*D224,0)</f>
        <v>0</v>
      </c>
    </row>
    <row r="225" customFormat="false" ht="15" hidden="false" customHeight="false" outlineLevel="0" collapsed="false">
      <c r="A225" s="19" t="s">
        <v>347</v>
      </c>
      <c r="B225" s="22" t="n">
        <v>480</v>
      </c>
      <c r="C225" s="19" t="n">
        <v>17</v>
      </c>
      <c r="D225" s="23" t="n">
        <v>0.55</v>
      </c>
      <c r="E225" s="19" t="s">
        <v>135</v>
      </c>
      <c r="F225" s="19" t="s">
        <v>136</v>
      </c>
      <c r="G225" s="19" t="s">
        <v>265</v>
      </c>
      <c r="H225" s="19"/>
      <c r="I225" s="24" t="n">
        <f aca="false">IF(AND(ISNUMBER(B225),ISNUMBER(D225)),B225*D225,0)</f>
        <v>264</v>
      </c>
    </row>
    <row r="226" customFormat="false" ht="15" hidden="false" customHeight="false" outlineLevel="0" collapsed="false">
      <c r="A226" s="19" t="s">
        <v>348</v>
      </c>
      <c r="B226" s="22" t="n">
        <v>480</v>
      </c>
      <c r="C226" s="19" t="n">
        <v>20</v>
      </c>
      <c r="D226" s="23" t="n">
        <v>0.64</v>
      </c>
      <c r="E226" s="19" t="s">
        <v>157</v>
      </c>
      <c r="F226" s="19" t="s">
        <v>136</v>
      </c>
      <c r="G226" s="19" t="s">
        <v>265</v>
      </c>
      <c r="H226" s="19"/>
      <c r="I226" s="24" t="n">
        <f aca="false">IF(AND(ISNUMBER(B226),ISNUMBER(D226)),B226*D226,0)</f>
        <v>307.2</v>
      </c>
    </row>
    <row r="227" customFormat="false" ht="15" hidden="false" customHeight="false" outlineLevel="0" collapsed="false">
      <c r="A227" s="19" t="s">
        <v>349</v>
      </c>
      <c r="B227" s="22" t="n">
        <v>480</v>
      </c>
      <c r="C227" s="19" t="n">
        <v>28</v>
      </c>
      <c r="D227" s="23" t="n">
        <v>0</v>
      </c>
      <c r="E227" s="19" t="s">
        <v>220</v>
      </c>
      <c r="F227" s="19" t="s">
        <v>136</v>
      </c>
      <c r="G227" s="19" t="s">
        <v>265</v>
      </c>
      <c r="H227" s="19"/>
      <c r="I227" s="24" t="n">
        <f aca="false">IF(AND(ISNUMBER(B227),ISNUMBER(D227)),B227*D227,0)</f>
        <v>0</v>
      </c>
    </row>
    <row r="228" customFormat="false" ht="15" hidden="false" customHeight="false" outlineLevel="0" collapsed="false">
      <c r="A228" s="19" t="s">
        <v>350</v>
      </c>
      <c r="B228" s="22" t="n">
        <v>480</v>
      </c>
      <c r="C228" s="19" t="n">
        <v>28</v>
      </c>
      <c r="D228" s="23" t="n">
        <v>0</v>
      </c>
      <c r="E228" s="19" t="s">
        <v>220</v>
      </c>
      <c r="F228" s="19" t="s">
        <v>136</v>
      </c>
      <c r="G228" s="19" t="s">
        <v>265</v>
      </c>
      <c r="H228" s="19"/>
      <c r="I228" s="24" t="n">
        <f aca="false">IF(AND(ISNUMBER(B228),ISNUMBER(D228)),B228*D228,0)</f>
        <v>0</v>
      </c>
    </row>
    <row r="229" customFormat="false" ht="15" hidden="false" customHeight="false" outlineLevel="0" collapsed="false">
      <c r="A229" s="19" t="s">
        <v>351</v>
      </c>
      <c r="B229" s="22" t="n">
        <v>480</v>
      </c>
      <c r="C229" s="19" t="n">
        <v>16</v>
      </c>
      <c r="D229" s="23" t="n">
        <v>0.39</v>
      </c>
      <c r="E229" s="19" t="s">
        <v>145</v>
      </c>
      <c r="F229" s="19" t="s">
        <v>136</v>
      </c>
      <c r="G229" s="19" t="s">
        <v>265</v>
      </c>
      <c r="H229" s="19"/>
      <c r="I229" s="24" t="n">
        <f aca="false">IF(AND(ISNUMBER(B229),ISNUMBER(D229)),B229*D229,0)</f>
        <v>187.2</v>
      </c>
    </row>
    <row r="230" customFormat="false" ht="15" hidden="false" customHeight="false" outlineLevel="0" collapsed="false">
      <c r="A230" s="19" t="s">
        <v>352</v>
      </c>
      <c r="B230" s="22" t="n">
        <v>480</v>
      </c>
      <c r="C230" s="19" t="n">
        <v>23</v>
      </c>
      <c r="D230" s="23" t="n">
        <v>0</v>
      </c>
      <c r="E230" s="19" t="s">
        <v>145</v>
      </c>
      <c r="F230" s="19" t="s">
        <v>136</v>
      </c>
      <c r="G230" s="19" t="s">
        <v>265</v>
      </c>
      <c r="H230" s="19"/>
      <c r="I230" s="24" t="n">
        <f aca="false">IF(AND(ISNUMBER(B230),ISNUMBER(D230)),B230*D230,0)</f>
        <v>0</v>
      </c>
    </row>
    <row r="231" customFormat="false" ht="15" hidden="false" customHeight="false" outlineLevel="0" collapsed="false">
      <c r="A231" s="19" t="s">
        <v>353</v>
      </c>
      <c r="B231" s="22" t="n">
        <v>480</v>
      </c>
      <c r="C231" s="19" t="n">
        <v>27</v>
      </c>
      <c r="D231" s="23" t="n">
        <v>0.17</v>
      </c>
      <c r="E231" s="19" t="s">
        <v>145</v>
      </c>
      <c r="F231" s="19" t="s">
        <v>136</v>
      </c>
      <c r="G231" s="19" t="s">
        <v>265</v>
      </c>
      <c r="H231" s="19"/>
      <c r="I231" s="24" t="n">
        <f aca="false">IF(AND(ISNUMBER(B231),ISNUMBER(D231)),B231*D231,0)</f>
        <v>81.6</v>
      </c>
    </row>
    <row r="232" customFormat="false" ht="15" hidden="false" customHeight="false" outlineLevel="0" collapsed="false">
      <c r="A232" s="19" t="s">
        <v>354</v>
      </c>
      <c r="B232" s="22" t="n">
        <v>390</v>
      </c>
      <c r="C232" s="19" t="n">
        <v>21</v>
      </c>
      <c r="D232" s="23" t="n">
        <v>0.04</v>
      </c>
      <c r="E232" s="19" t="s">
        <v>185</v>
      </c>
      <c r="F232" s="19" t="s">
        <v>161</v>
      </c>
      <c r="G232" s="19" t="s">
        <v>265</v>
      </c>
      <c r="H232" s="19"/>
      <c r="I232" s="24" t="n">
        <f aca="false">IF(AND(ISNUMBER(B232),ISNUMBER(D232)),B232*D232,0)</f>
        <v>15.6</v>
      </c>
    </row>
    <row r="233" customFormat="false" ht="15" hidden="false" customHeight="false" outlineLevel="0" collapsed="false">
      <c r="A233" s="19" t="s">
        <v>355</v>
      </c>
      <c r="B233" s="22" t="n">
        <v>390</v>
      </c>
      <c r="C233" s="19" t="n">
        <v>10</v>
      </c>
      <c r="D233" s="23" t="n">
        <v>1.13</v>
      </c>
      <c r="E233" s="19" t="s">
        <v>168</v>
      </c>
      <c r="F233" s="19" t="s">
        <v>161</v>
      </c>
      <c r="G233" s="19" t="s">
        <v>265</v>
      </c>
      <c r="H233" s="19"/>
      <c r="I233" s="24" t="n">
        <f aca="false">IF(AND(ISNUMBER(B233),ISNUMBER(D233)),B233*D233,0)</f>
        <v>440.7</v>
      </c>
    </row>
    <row r="234" customFormat="false" ht="15" hidden="false" customHeight="false" outlineLevel="0" collapsed="false">
      <c r="A234" s="19" t="s">
        <v>356</v>
      </c>
      <c r="B234" s="22" t="n">
        <v>390</v>
      </c>
      <c r="C234" s="19" t="n">
        <v>18</v>
      </c>
      <c r="D234" s="23" t="n">
        <v>0.37</v>
      </c>
      <c r="E234" s="19" t="s">
        <v>168</v>
      </c>
      <c r="F234" s="19" t="s">
        <v>161</v>
      </c>
      <c r="G234" s="19" t="s">
        <v>265</v>
      </c>
      <c r="H234" s="19"/>
      <c r="I234" s="24" t="n">
        <f aca="false">IF(AND(ISNUMBER(B234),ISNUMBER(D234)),B234*D234,0)</f>
        <v>144.3</v>
      </c>
    </row>
    <row r="235" customFormat="false" ht="15" hidden="false" customHeight="false" outlineLevel="0" collapsed="false">
      <c r="A235" s="19" t="s">
        <v>357</v>
      </c>
      <c r="B235" s="22" t="n">
        <v>390</v>
      </c>
      <c r="C235" s="19" t="n">
        <v>10</v>
      </c>
      <c r="D235" s="23" t="n">
        <v>0.42</v>
      </c>
      <c r="E235" s="19" t="s">
        <v>135</v>
      </c>
      <c r="F235" s="19" t="s">
        <v>161</v>
      </c>
      <c r="G235" s="19" t="s">
        <v>265</v>
      </c>
      <c r="H235" s="19"/>
      <c r="I235" s="24" t="n">
        <f aca="false">IF(AND(ISNUMBER(B235),ISNUMBER(D235)),B235*D235,0)</f>
        <v>163.8</v>
      </c>
    </row>
    <row r="236" customFormat="false" ht="15" hidden="false" customHeight="false" outlineLevel="0" collapsed="false">
      <c r="A236" s="19" t="s">
        <v>358</v>
      </c>
      <c r="B236" s="22" t="n">
        <v>390</v>
      </c>
      <c r="C236" s="19" t="n">
        <v>29</v>
      </c>
      <c r="D236" s="23" t="n">
        <v>0.94</v>
      </c>
      <c r="E236" s="19" t="s">
        <v>135</v>
      </c>
      <c r="F236" s="19" t="s">
        <v>161</v>
      </c>
      <c r="G236" s="19" t="s">
        <v>265</v>
      </c>
      <c r="H236" s="19"/>
      <c r="I236" s="24" t="n">
        <f aca="false">IF(AND(ISNUMBER(B236),ISNUMBER(D236)),B236*D236,0)</f>
        <v>366.6</v>
      </c>
    </row>
    <row r="237" customFormat="false" ht="15" hidden="false" customHeight="false" outlineLevel="0" collapsed="false">
      <c r="A237" s="19" t="s">
        <v>359</v>
      </c>
      <c r="B237" s="22" t="n">
        <v>390</v>
      </c>
      <c r="C237" s="19" t="n">
        <v>27</v>
      </c>
      <c r="D237" s="23" t="n">
        <v>0.32</v>
      </c>
      <c r="E237" s="19" t="s">
        <v>135</v>
      </c>
      <c r="F237" s="19" t="s">
        <v>161</v>
      </c>
      <c r="G237" s="19" t="s">
        <v>265</v>
      </c>
      <c r="H237" s="19"/>
      <c r="I237" s="24" t="n">
        <f aca="false">IF(AND(ISNUMBER(B237),ISNUMBER(D237)),B237*D237,0)</f>
        <v>124.8</v>
      </c>
    </row>
    <row r="238" customFormat="false" ht="15" hidden="false" customHeight="false" outlineLevel="0" collapsed="false">
      <c r="A238" s="19" t="s">
        <v>360</v>
      </c>
      <c r="B238" s="22" t="n">
        <v>390</v>
      </c>
      <c r="C238" s="19" t="n">
        <v>25</v>
      </c>
      <c r="D238" s="23" t="n">
        <v>0.31</v>
      </c>
      <c r="E238" s="19" t="s">
        <v>135</v>
      </c>
      <c r="F238" s="19" t="s">
        <v>161</v>
      </c>
      <c r="G238" s="19" t="s">
        <v>265</v>
      </c>
      <c r="H238" s="19"/>
      <c r="I238" s="24" t="n">
        <f aca="false">IF(AND(ISNUMBER(B238),ISNUMBER(D238)),B238*D238,0)</f>
        <v>120.9</v>
      </c>
    </row>
    <row r="239" customFormat="false" ht="15" hidden="false" customHeight="false" outlineLevel="0" collapsed="false">
      <c r="A239" s="19" t="s">
        <v>361</v>
      </c>
      <c r="B239" s="22" t="n">
        <v>390</v>
      </c>
      <c r="C239" s="19" t="n">
        <v>27</v>
      </c>
      <c r="D239" s="23" t="n">
        <v>0.46</v>
      </c>
      <c r="E239" s="19" t="s">
        <v>135</v>
      </c>
      <c r="F239" s="19" t="s">
        <v>161</v>
      </c>
      <c r="G239" s="19" t="s">
        <v>265</v>
      </c>
      <c r="H239" s="19"/>
      <c r="I239" s="24" t="n">
        <f aca="false">IF(AND(ISNUMBER(B239),ISNUMBER(D239)),B239*D239,0)</f>
        <v>179.4</v>
      </c>
    </row>
    <row r="240" customFormat="false" ht="15" hidden="false" customHeight="false" outlineLevel="0" collapsed="false">
      <c r="A240" s="19" t="s">
        <v>362</v>
      </c>
      <c r="B240" s="22" t="n">
        <v>390</v>
      </c>
      <c r="C240" s="19" t="n">
        <v>23</v>
      </c>
      <c r="D240" s="23" t="n">
        <v>0.43</v>
      </c>
      <c r="E240" s="19" t="s">
        <v>157</v>
      </c>
      <c r="F240" s="19" t="s">
        <v>161</v>
      </c>
      <c r="G240" s="19" t="s">
        <v>265</v>
      </c>
      <c r="H240" s="19"/>
      <c r="I240" s="24" t="n">
        <f aca="false">IF(AND(ISNUMBER(B240),ISNUMBER(D240)),B240*D240,0)</f>
        <v>167.7</v>
      </c>
    </row>
    <row r="241" customFormat="false" ht="15" hidden="false" customHeight="false" outlineLevel="0" collapsed="false">
      <c r="A241" s="19" t="s">
        <v>363</v>
      </c>
      <c r="B241" s="22" t="n">
        <v>390</v>
      </c>
      <c r="C241" s="19" t="n">
        <v>8</v>
      </c>
      <c r="D241" s="23" t="n">
        <v>0.33</v>
      </c>
      <c r="E241" s="19" t="s">
        <v>135</v>
      </c>
      <c r="F241" s="19" t="s">
        <v>161</v>
      </c>
      <c r="G241" s="19" t="s">
        <v>265</v>
      </c>
      <c r="H241" s="19"/>
      <c r="I241" s="24" t="n">
        <f aca="false">IF(AND(ISNUMBER(B241),ISNUMBER(D241)),B241*D241,0)</f>
        <v>128.7</v>
      </c>
    </row>
    <row r="242" customFormat="false" ht="15" hidden="false" customHeight="false" outlineLevel="0" collapsed="false">
      <c r="A242" s="19" t="s">
        <v>364</v>
      </c>
      <c r="B242" s="22" t="n">
        <v>390</v>
      </c>
      <c r="C242" s="19" t="n">
        <v>10</v>
      </c>
      <c r="D242" s="23" t="n">
        <v>0</v>
      </c>
      <c r="E242" s="19" t="s">
        <v>145</v>
      </c>
      <c r="F242" s="19" t="s">
        <v>161</v>
      </c>
      <c r="G242" s="19" t="s">
        <v>265</v>
      </c>
      <c r="H242" s="19"/>
      <c r="I242" s="24" t="n">
        <f aca="false">IF(AND(ISNUMBER(B242),ISNUMBER(D242)),B242*D242,0)</f>
        <v>0</v>
      </c>
    </row>
    <row r="243" customFormat="false" ht="15" hidden="false" customHeight="false" outlineLevel="0" collapsed="false">
      <c r="A243" s="19" t="s">
        <v>365</v>
      </c>
      <c r="B243" s="22" t="n">
        <v>390</v>
      </c>
      <c r="C243" s="19" t="n">
        <v>10</v>
      </c>
      <c r="D243" s="23" t="n">
        <v>0.71</v>
      </c>
      <c r="E243" s="19" t="s">
        <v>145</v>
      </c>
      <c r="F243" s="19" t="s">
        <v>136</v>
      </c>
      <c r="G243" s="19" t="s">
        <v>265</v>
      </c>
      <c r="H243" s="19"/>
      <c r="I243" s="24" t="n">
        <f aca="false">IF(AND(ISNUMBER(B243),ISNUMBER(D243)),B243*D243,0)</f>
        <v>276.9</v>
      </c>
    </row>
    <row r="244" customFormat="false" ht="15" hidden="false" customHeight="false" outlineLevel="0" collapsed="false">
      <c r="A244" s="19" t="s">
        <v>366</v>
      </c>
      <c r="B244" s="22" t="n">
        <v>390</v>
      </c>
      <c r="C244" s="19" t="n">
        <v>27</v>
      </c>
      <c r="D244" s="23" t="n">
        <v>1.71</v>
      </c>
      <c r="E244" s="19" t="s">
        <v>145</v>
      </c>
      <c r="F244" s="19" t="s">
        <v>136</v>
      </c>
      <c r="G244" s="19" t="s">
        <v>265</v>
      </c>
      <c r="H244" s="19"/>
      <c r="I244" s="24" t="n">
        <f aca="false">IF(AND(ISNUMBER(B244),ISNUMBER(D244)),B244*D244,0)</f>
        <v>666.9</v>
      </c>
    </row>
    <row r="245" customFormat="false" ht="15" hidden="false" customHeight="false" outlineLevel="0" collapsed="false">
      <c r="A245" s="19" t="s">
        <v>367</v>
      </c>
      <c r="B245" s="22" t="n">
        <v>390</v>
      </c>
      <c r="C245" s="19" t="n">
        <v>27</v>
      </c>
      <c r="D245" s="23" t="n">
        <v>0</v>
      </c>
      <c r="E245" s="19" t="s">
        <v>145</v>
      </c>
      <c r="F245" s="19" t="s">
        <v>136</v>
      </c>
      <c r="G245" s="19" t="s">
        <v>265</v>
      </c>
      <c r="H245" s="19"/>
      <c r="I245" s="24" t="n">
        <f aca="false">IF(AND(ISNUMBER(B245),ISNUMBER(D245)),B245*D245,0)</f>
        <v>0</v>
      </c>
    </row>
    <row r="246" customFormat="false" ht="15" hidden="false" customHeight="false" outlineLevel="0" collapsed="false">
      <c r="A246" s="19" t="s">
        <v>368</v>
      </c>
      <c r="B246" s="22" t="n">
        <v>390</v>
      </c>
      <c r="C246" s="19" t="n">
        <v>29</v>
      </c>
      <c r="D246" s="23" t="n">
        <v>0.23</v>
      </c>
      <c r="E246" s="19" t="s">
        <v>166</v>
      </c>
      <c r="F246" s="19" t="s">
        <v>136</v>
      </c>
      <c r="G246" s="19" t="s">
        <v>265</v>
      </c>
      <c r="H246" s="19"/>
      <c r="I246" s="24" t="n">
        <f aca="false">IF(AND(ISNUMBER(B246),ISNUMBER(D246)),B246*D246,0)</f>
        <v>89.7</v>
      </c>
    </row>
    <row r="247" customFormat="false" ht="15" hidden="false" customHeight="false" outlineLevel="0" collapsed="false">
      <c r="A247" s="19" t="s">
        <v>369</v>
      </c>
      <c r="B247" s="22" t="n">
        <v>390</v>
      </c>
      <c r="C247" s="19" t="n">
        <v>29</v>
      </c>
      <c r="D247" s="23" t="n">
        <v>0</v>
      </c>
      <c r="E247" s="19" t="s">
        <v>135</v>
      </c>
      <c r="F247" s="19" t="s">
        <v>136</v>
      </c>
      <c r="G247" s="19" t="s">
        <v>265</v>
      </c>
      <c r="H247" s="19"/>
      <c r="I247" s="24" t="n">
        <f aca="false">IF(AND(ISNUMBER(B247),ISNUMBER(D247)),B247*D247,0)</f>
        <v>0</v>
      </c>
    </row>
    <row r="248" customFormat="false" ht="15" hidden="false" customHeight="false" outlineLevel="0" collapsed="false">
      <c r="A248" s="19" t="s">
        <v>370</v>
      </c>
      <c r="B248" s="22" t="n">
        <v>320</v>
      </c>
      <c r="C248" s="19" t="n">
        <v>13</v>
      </c>
      <c r="D248" s="23" t="n">
        <v>0.26</v>
      </c>
      <c r="E248" s="19" t="s">
        <v>168</v>
      </c>
      <c r="F248" s="19" t="s">
        <v>140</v>
      </c>
      <c r="G248" s="19" t="s">
        <v>265</v>
      </c>
      <c r="H248" s="19"/>
      <c r="I248" s="24" t="n">
        <f aca="false">IF(AND(ISNUMBER(B248),ISNUMBER(D248)),B248*D248,0)</f>
        <v>83.2</v>
      </c>
    </row>
    <row r="249" customFormat="false" ht="15" hidden="false" customHeight="false" outlineLevel="0" collapsed="false">
      <c r="A249" s="19" t="s">
        <v>371</v>
      </c>
      <c r="B249" s="22" t="n">
        <v>320</v>
      </c>
      <c r="C249" s="19" t="n">
        <v>28</v>
      </c>
      <c r="D249" s="23" t="n">
        <v>0</v>
      </c>
      <c r="E249" s="19" t="s">
        <v>185</v>
      </c>
      <c r="F249" s="19" t="s">
        <v>140</v>
      </c>
      <c r="G249" s="19" t="s">
        <v>265</v>
      </c>
      <c r="H249" s="19"/>
      <c r="I249" s="24" t="n">
        <f aca="false">IF(AND(ISNUMBER(B249),ISNUMBER(D249)),B249*D249,0)</f>
        <v>0</v>
      </c>
    </row>
    <row r="250" customFormat="false" ht="15" hidden="false" customHeight="false" outlineLevel="0" collapsed="false">
      <c r="A250" s="19" t="s">
        <v>372</v>
      </c>
      <c r="B250" s="22" t="n">
        <v>320</v>
      </c>
      <c r="C250" s="19" t="n">
        <v>18</v>
      </c>
      <c r="D250" s="23" t="n">
        <v>0</v>
      </c>
      <c r="E250" s="19" t="s">
        <v>185</v>
      </c>
      <c r="F250" s="19" t="s">
        <v>140</v>
      </c>
      <c r="G250" s="19" t="s">
        <v>265</v>
      </c>
      <c r="H250" s="19"/>
      <c r="I250" s="24" t="n">
        <f aca="false">IF(AND(ISNUMBER(B250),ISNUMBER(D250)),B250*D250,0)</f>
        <v>0</v>
      </c>
    </row>
    <row r="251" customFormat="false" ht="15" hidden="false" customHeight="false" outlineLevel="0" collapsed="false">
      <c r="A251" s="19" t="s">
        <v>373</v>
      </c>
      <c r="B251" s="22" t="n">
        <v>320</v>
      </c>
      <c r="C251" s="19" t="n">
        <v>17</v>
      </c>
      <c r="D251" s="23" t="n">
        <v>0</v>
      </c>
      <c r="E251" s="19" t="s">
        <v>284</v>
      </c>
      <c r="F251" s="19" t="s">
        <v>140</v>
      </c>
      <c r="G251" s="19" t="s">
        <v>265</v>
      </c>
      <c r="H251" s="19"/>
      <c r="I251" s="24" t="n">
        <f aca="false">IF(AND(ISNUMBER(B251),ISNUMBER(D251)),B251*D251,0)</f>
        <v>0</v>
      </c>
    </row>
    <row r="252" customFormat="false" ht="15" hidden="false" customHeight="false" outlineLevel="0" collapsed="false">
      <c r="A252" s="19" t="s">
        <v>374</v>
      </c>
      <c r="B252" s="22" t="n">
        <v>320</v>
      </c>
      <c r="C252" s="19" t="n">
        <v>27</v>
      </c>
      <c r="D252" s="23" t="n">
        <v>0.5</v>
      </c>
      <c r="E252" s="19" t="s">
        <v>168</v>
      </c>
      <c r="F252" s="19" t="s">
        <v>161</v>
      </c>
      <c r="G252" s="19" t="s">
        <v>265</v>
      </c>
      <c r="H252" s="19"/>
      <c r="I252" s="24" t="n">
        <f aca="false">IF(AND(ISNUMBER(B252),ISNUMBER(D252)),B252*D252,0)</f>
        <v>160</v>
      </c>
    </row>
    <row r="253" customFormat="false" ht="15" hidden="false" customHeight="false" outlineLevel="0" collapsed="false">
      <c r="A253" s="19" t="s">
        <v>375</v>
      </c>
      <c r="B253" s="22" t="n">
        <v>320</v>
      </c>
      <c r="C253" s="19" t="n">
        <v>22</v>
      </c>
      <c r="D253" s="23" t="n">
        <v>0.55</v>
      </c>
      <c r="E253" s="19" t="s">
        <v>168</v>
      </c>
      <c r="F253" s="19" t="s">
        <v>161</v>
      </c>
      <c r="G253" s="19" t="s">
        <v>265</v>
      </c>
      <c r="H253" s="19"/>
      <c r="I253" s="24" t="n">
        <f aca="false">IF(AND(ISNUMBER(B253),ISNUMBER(D253)),B253*D253,0)</f>
        <v>176</v>
      </c>
    </row>
    <row r="254" customFormat="false" ht="15" hidden="false" customHeight="false" outlineLevel="0" collapsed="false">
      <c r="A254" s="19" t="s">
        <v>376</v>
      </c>
      <c r="B254" s="22" t="n">
        <v>320</v>
      </c>
      <c r="C254" s="19" t="n">
        <v>22</v>
      </c>
      <c r="D254" s="23" t="n">
        <v>0.39</v>
      </c>
      <c r="E254" s="19" t="s">
        <v>168</v>
      </c>
      <c r="F254" s="19" t="s">
        <v>161</v>
      </c>
      <c r="G254" s="19" t="s">
        <v>265</v>
      </c>
      <c r="H254" s="19"/>
      <c r="I254" s="24" t="n">
        <f aca="false">IF(AND(ISNUMBER(B254),ISNUMBER(D254)),B254*D254,0)</f>
        <v>124.8</v>
      </c>
    </row>
    <row r="255" customFormat="false" ht="15" hidden="false" customHeight="false" outlineLevel="0" collapsed="false">
      <c r="A255" s="19" t="s">
        <v>377</v>
      </c>
      <c r="B255" s="22" t="n">
        <v>320</v>
      </c>
      <c r="C255" s="19" t="n">
        <v>19</v>
      </c>
      <c r="D255" s="23" t="n">
        <v>0.48</v>
      </c>
      <c r="E255" s="19" t="s">
        <v>175</v>
      </c>
      <c r="F255" s="19" t="s">
        <v>161</v>
      </c>
      <c r="G255" s="19" t="s">
        <v>265</v>
      </c>
      <c r="H255" s="19"/>
      <c r="I255" s="24" t="n">
        <f aca="false">IF(AND(ISNUMBER(B255),ISNUMBER(D255)),B255*D255,0)</f>
        <v>153.6</v>
      </c>
    </row>
    <row r="256" customFormat="false" ht="15" hidden="false" customHeight="false" outlineLevel="0" collapsed="false">
      <c r="A256" s="19" t="s">
        <v>378</v>
      </c>
      <c r="B256" s="22" t="n">
        <v>320</v>
      </c>
      <c r="C256" s="19" t="n">
        <v>20</v>
      </c>
      <c r="D256" s="23" t="n">
        <v>0.35</v>
      </c>
      <c r="E256" s="19" t="s">
        <v>145</v>
      </c>
      <c r="F256" s="19" t="s">
        <v>161</v>
      </c>
      <c r="G256" s="19" t="s">
        <v>265</v>
      </c>
      <c r="H256" s="19"/>
      <c r="I256" s="24" t="n">
        <f aca="false">IF(AND(ISNUMBER(B256),ISNUMBER(D256)),B256*D256,0)</f>
        <v>112</v>
      </c>
    </row>
    <row r="257" customFormat="false" ht="15" hidden="false" customHeight="false" outlineLevel="0" collapsed="false">
      <c r="A257" s="19" t="s">
        <v>379</v>
      </c>
      <c r="B257" s="22" t="n">
        <v>320</v>
      </c>
      <c r="C257" s="19" t="n">
        <v>15</v>
      </c>
      <c r="D257" s="23" t="n">
        <v>0.28</v>
      </c>
      <c r="E257" s="19" t="s">
        <v>135</v>
      </c>
      <c r="F257" s="19" t="s">
        <v>161</v>
      </c>
      <c r="G257" s="19" t="s">
        <v>265</v>
      </c>
      <c r="H257" s="19"/>
      <c r="I257" s="24" t="n">
        <f aca="false">IF(AND(ISNUMBER(B257),ISNUMBER(D257)),B257*D257,0)</f>
        <v>89.6</v>
      </c>
    </row>
    <row r="258" customFormat="false" ht="15" hidden="false" customHeight="false" outlineLevel="0" collapsed="false">
      <c r="A258" s="19" t="s">
        <v>380</v>
      </c>
      <c r="B258" s="22" t="n">
        <v>320</v>
      </c>
      <c r="C258" s="19" t="n">
        <v>27</v>
      </c>
      <c r="D258" s="23" t="n">
        <v>0.37</v>
      </c>
      <c r="E258" s="19" t="s">
        <v>135</v>
      </c>
      <c r="F258" s="19" t="s">
        <v>161</v>
      </c>
      <c r="G258" s="19" t="s">
        <v>265</v>
      </c>
      <c r="H258" s="19"/>
      <c r="I258" s="24" t="n">
        <f aca="false">IF(AND(ISNUMBER(B258),ISNUMBER(D258)),B258*D258,0)</f>
        <v>118.4</v>
      </c>
    </row>
    <row r="259" customFormat="false" ht="15" hidden="false" customHeight="false" outlineLevel="0" collapsed="false">
      <c r="A259" s="19" t="s">
        <v>381</v>
      </c>
      <c r="B259" s="22" t="n">
        <v>320</v>
      </c>
      <c r="C259" s="19" t="n">
        <v>9</v>
      </c>
      <c r="D259" s="23" t="n">
        <v>0.76</v>
      </c>
      <c r="E259" s="19" t="s">
        <v>157</v>
      </c>
      <c r="F259" s="19" t="s">
        <v>161</v>
      </c>
      <c r="G259" s="19" t="s">
        <v>265</v>
      </c>
      <c r="H259" s="19"/>
      <c r="I259" s="24" t="n">
        <f aca="false">IF(AND(ISNUMBER(B259),ISNUMBER(D259)),B259*D259,0)</f>
        <v>243.2</v>
      </c>
    </row>
    <row r="260" customFormat="false" ht="15" hidden="false" customHeight="false" outlineLevel="0" collapsed="false">
      <c r="A260" s="19" t="s">
        <v>382</v>
      </c>
      <c r="B260" s="22" t="n">
        <v>320</v>
      </c>
      <c r="C260" s="19" t="n">
        <v>22</v>
      </c>
      <c r="D260" s="23" t="n">
        <v>0.69</v>
      </c>
      <c r="E260" s="19" t="s">
        <v>135</v>
      </c>
      <c r="F260" s="19" t="s">
        <v>161</v>
      </c>
      <c r="G260" s="19" t="s">
        <v>265</v>
      </c>
      <c r="H260" s="19"/>
      <c r="I260" s="24" t="n">
        <f aca="false">IF(AND(ISNUMBER(B260),ISNUMBER(D260)),B260*D260,0)</f>
        <v>220.8</v>
      </c>
    </row>
    <row r="261" customFormat="false" ht="15" hidden="false" customHeight="false" outlineLevel="0" collapsed="false">
      <c r="A261" s="19" t="s">
        <v>383</v>
      </c>
      <c r="B261" s="22" t="n">
        <v>320</v>
      </c>
      <c r="C261" s="19" t="n">
        <v>23</v>
      </c>
      <c r="D261" s="23" t="n">
        <v>0</v>
      </c>
      <c r="E261" s="19" t="s">
        <v>135</v>
      </c>
      <c r="F261" s="19" t="s">
        <v>161</v>
      </c>
      <c r="G261" s="19" t="s">
        <v>265</v>
      </c>
      <c r="H261" s="19"/>
      <c r="I261" s="24" t="n">
        <f aca="false">IF(AND(ISNUMBER(B261),ISNUMBER(D261)),B261*D261,0)</f>
        <v>0</v>
      </c>
    </row>
    <row r="262" customFormat="false" ht="15" hidden="false" customHeight="false" outlineLevel="0" collapsed="false">
      <c r="A262" s="19" t="s">
        <v>384</v>
      </c>
      <c r="B262" s="22" t="n">
        <v>320</v>
      </c>
      <c r="C262" s="19" t="n">
        <v>28</v>
      </c>
      <c r="D262" s="23" t="n">
        <v>0</v>
      </c>
      <c r="E262" s="19" t="s">
        <v>145</v>
      </c>
      <c r="F262" s="19" t="s">
        <v>161</v>
      </c>
      <c r="G262" s="19" t="s">
        <v>265</v>
      </c>
      <c r="H262" s="19"/>
      <c r="I262" s="24" t="n">
        <f aca="false">IF(AND(ISNUMBER(B262),ISNUMBER(D262)),B262*D262,0)</f>
        <v>0</v>
      </c>
    </row>
    <row r="263" customFormat="false" ht="15" hidden="false" customHeight="false" outlineLevel="0" collapsed="false">
      <c r="A263" s="19" t="s">
        <v>385</v>
      </c>
      <c r="B263" s="22" t="n">
        <v>320</v>
      </c>
      <c r="C263" s="19" t="n">
        <v>17</v>
      </c>
      <c r="D263" s="23" t="n">
        <v>0.77</v>
      </c>
      <c r="E263" s="19" t="s">
        <v>135</v>
      </c>
      <c r="F263" s="19" t="s">
        <v>161</v>
      </c>
      <c r="G263" s="19" t="s">
        <v>265</v>
      </c>
      <c r="H263" s="19"/>
      <c r="I263" s="24" t="n">
        <f aca="false">IF(AND(ISNUMBER(B263),ISNUMBER(D263)),B263*D263,0)</f>
        <v>246.4</v>
      </c>
    </row>
    <row r="264" customFormat="false" ht="15" hidden="false" customHeight="false" outlineLevel="0" collapsed="false">
      <c r="A264" s="19" t="s">
        <v>386</v>
      </c>
      <c r="B264" s="22" t="n">
        <v>320</v>
      </c>
      <c r="C264" s="19" t="n">
        <v>10</v>
      </c>
      <c r="D264" s="23" t="n">
        <v>1.41</v>
      </c>
      <c r="E264" s="19" t="s">
        <v>145</v>
      </c>
      <c r="F264" s="19" t="s">
        <v>161</v>
      </c>
      <c r="G264" s="19" t="s">
        <v>265</v>
      </c>
      <c r="H264" s="19"/>
      <c r="I264" s="24" t="n">
        <f aca="false">IF(AND(ISNUMBER(B264),ISNUMBER(D264)),B264*D264,0)</f>
        <v>451.2</v>
      </c>
    </row>
    <row r="265" customFormat="false" ht="15" hidden="false" customHeight="false" outlineLevel="0" collapsed="false">
      <c r="A265" s="19" t="s">
        <v>387</v>
      </c>
      <c r="B265" s="22" t="n">
        <v>320</v>
      </c>
      <c r="C265" s="19" t="n">
        <v>27</v>
      </c>
      <c r="D265" s="23" t="n">
        <v>0.5</v>
      </c>
      <c r="E265" s="19" t="s">
        <v>157</v>
      </c>
      <c r="F265" s="19" t="s">
        <v>161</v>
      </c>
      <c r="G265" s="19" t="s">
        <v>265</v>
      </c>
      <c r="H265" s="19"/>
      <c r="I265" s="24" t="n">
        <f aca="false">IF(AND(ISNUMBER(B265),ISNUMBER(D265)),B265*D265,0)</f>
        <v>160</v>
      </c>
    </row>
    <row r="266" customFormat="false" ht="15" hidden="false" customHeight="false" outlineLevel="0" collapsed="false">
      <c r="A266" s="19" t="s">
        <v>388</v>
      </c>
      <c r="B266" s="22" t="n">
        <v>320</v>
      </c>
      <c r="C266" s="19" t="n">
        <v>22</v>
      </c>
      <c r="D266" s="23" t="n">
        <v>0.39</v>
      </c>
      <c r="E266" s="19" t="s">
        <v>135</v>
      </c>
      <c r="F266" s="19" t="s">
        <v>161</v>
      </c>
      <c r="G266" s="19" t="s">
        <v>265</v>
      </c>
      <c r="H266" s="19"/>
      <c r="I266" s="24" t="n">
        <f aca="false">IF(AND(ISNUMBER(B266),ISNUMBER(D266)),B266*D266,0)</f>
        <v>124.8</v>
      </c>
    </row>
    <row r="267" customFormat="false" ht="15" hidden="false" customHeight="false" outlineLevel="0" collapsed="false">
      <c r="A267" s="19" t="s">
        <v>389</v>
      </c>
      <c r="B267" s="22" t="n">
        <v>320</v>
      </c>
      <c r="C267" s="19" t="n">
        <v>18</v>
      </c>
      <c r="D267" s="23" t="n">
        <v>0</v>
      </c>
      <c r="E267" s="19" t="s">
        <v>145</v>
      </c>
      <c r="F267" s="19" t="s">
        <v>161</v>
      </c>
      <c r="G267" s="19" t="s">
        <v>265</v>
      </c>
      <c r="H267" s="19"/>
      <c r="I267" s="24" t="n">
        <f aca="false">IF(AND(ISNUMBER(B267),ISNUMBER(D267)),B267*D267,0)</f>
        <v>0</v>
      </c>
    </row>
    <row r="268" customFormat="false" ht="15" hidden="false" customHeight="false" outlineLevel="0" collapsed="false">
      <c r="A268" s="19" t="s">
        <v>390</v>
      </c>
      <c r="B268" s="22" t="n">
        <v>320</v>
      </c>
      <c r="C268" s="19" t="n">
        <v>15</v>
      </c>
      <c r="D268" s="23" t="n">
        <v>0.51</v>
      </c>
      <c r="E268" s="19" t="s">
        <v>175</v>
      </c>
      <c r="F268" s="19" t="s">
        <v>161</v>
      </c>
      <c r="G268" s="19" t="s">
        <v>265</v>
      </c>
      <c r="H268" s="19"/>
      <c r="I268" s="24" t="n">
        <f aca="false">IF(AND(ISNUMBER(B268),ISNUMBER(D268)),B268*D268,0)</f>
        <v>163.2</v>
      </c>
    </row>
    <row r="269" customFormat="false" ht="15" hidden="false" customHeight="false" outlineLevel="0" collapsed="false">
      <c r="A269" s="19" t="s">
        <v>391</v>
      </c>
      <c r="B269" s="22" t="n">
        <v>320</v>
      </c>
      <c r="C269" s="19" t="n">
        <v>17</v>
      </c>
      <c r="D269" s="23" t="n">
        <v>0.5</v>
      </c>
      <c r="E269" s="19" t="s">
        <v>135</v>
      </c>
      <c r="F269" s="19" t="s">
        <v>161</v>
      </c>
      <c r="G269" s="19" t="s">
        <v>265</v>
      </c>
      <c r="H269" s="19"/>
      <c r="I269" s="24" t="n">
        <f aca="false">IF(AND(ISNUMBER(B269),ISNUMBER(D269)),B269*D269,0)</f>
        <v>160</v>
      </c>
    </row>
    <row r="270" customFormat="false" ht="15" hidden="false" customHeight="false" outlineLevel="0" collapsed="false">
      <c r="A270" s="19" t="s">
        <v>392</v>
      </c>
      <c r="B270" s="22" t="n">
        <v>320</v>
      </c>
      <c r="C270" s="19" t="n">
        <v>23</v>
      </c>
      <c r="D270" s="23" t="n">
        <v>1.08</v>
      </c>
      <c r="E270" s="19" t="s">
        <v>135</v>
      </c>
      <c r="F270" s="19" t="s">
        <v>161</v>
      </c>
      <c r="G270" s="19" t="s">
        <v>265</v>
      </c>
      <c r="H270" s="19"/>
      <c r="I270" s="24" t="n">
        <f aca="false">IF(AND(ISNUMBER(B270),ISNUMBER(D270)),B270*D270,0)</f>
        <v>345.6</v>
      </c>
    </row>
    <row r="271" customFormat="false" ht="15" hidden="false" customHeight="false" outlineLevel="0" collapsed="false">
      <c r="A271" s="19" t="s">
        <v>393</v>
      </c>
      <c r="B271" s="22" t="n">
        <v>320</v>
      </c>
      <c r="C271" s="19" t="n">
        <v>22</v>
      </c>
      <c r="D271" s="23" t="n">
        <v>0.39</v>
      </c>
      <c r="E271" s="19" t="s">
        <v>135</v>
      </c>
      <c r="F271" s="19" t="s">
        <v>161</v>
      </c>
      <c r="G271" s="19" t="s">
        <v>265</v>
      </c>
      <c r="H271" s="19"/>
      <c r="I271" s="24" t="n">
        <f aca="false">IF(AND(ISNUMBER(B271),ISNUMBER(D271)),B271*D271,0)</f>
        <v>124.8</v>
      </c>
    </row>
    <row r="272" customFormat="false" ht="15" hidden="false" customHeight="false" outlineLevel="0" collapsed="false">
      <c r="A272" s="19" t="s">
        <v>394</v>
      </c>
      <c r="B272" s="22" t="n">
        <v>320</v>
      </c>
      <c r="C272" s="19" t="n">
        <v>20</v>
      </c>
      <c r="D272" s="23" t="n">
        <v>0.69</v>
      </c>
      <c r="E272" s="19" t="s">
        <v>135</v>
      </c>
      <c r="F272" s="19" t="s">
        <v>161</v>
      </c>
      <c r="G272" s="19" t="s">
        <v>265</v>
      </c>
      <c r="H272" s="19"/>
      <c r="I272" s="24" t="n">
        <f aca="false">IF(AND(ISNUMBER(B272),ISNUMBER(D272)),B272*D272,0)</f>
        <v>220.8</v>
      </c>
    </row>
    <row r="273" customFormat="false" ht="15" hidden="false" customHeight="false" outlineLevel="0" collapsed="false">
      <c r="A273" s="19" t="s">
        <v>395</v>
      </c>
      <c r="B273" s="22" t="n">
        <v>320</v>
      </c>
      <c r="C273" s="19" t="n">
        <v>26</v>
      </c>
      <c r="D273" s="23" t="n">
        <v>0.47</v>
      </c>
      <c r="E273" s="19" t="s">
        <v>145</v>
      </c>
      <c r="F273" s="19" t="s">
        <v>161</v>
      </c>
      <c r="G273" s="19" t="s">
        <v>265</v>
      </c>
      <c r="H273" s="19"/>
      <c r="I273" s="24" t="n">
        <f aca="false">IF(AND(ISNUMBER(B273),ISNUMBER(D273)),B273*D273,0)</f>
        <v>150.4</v>
      </c>
    </row>
    <row r="274" customFormat="false" ht="15" hidden="false" customHeight="false" outlineLevel="0" collapsed="false">
      <c r="A274" s="19" t="s">
        <v>396</v>
      </c>
      <c r="B274" s="22" t="n">
        <v>320</v>
      </c>
      <c r="C274" s="19" t="n">
        <v>24</v>
      </c>
      <c r="D274" s="23" t="n">
        <v>0.37</v>
      </c>
      <c r="E274" s="19" t="s">
        <v>145</v>
      </c>
      <c r="F274" s="19" t="s">
        <v>161</v>
      </c>
      <c r="G274" s="19" t="s">
        <v>265</v>
      </c>
      <c r="H274" s="19"/>
      <c r="I274" s="24" t="n">
        <f aca="false">IF(AND(ISNUMBER(B274),ISNUMBER(D274)),B274*D274,0)</f>
        <v>118.4</v>
      </c>
    </row>
    <row r="275" customFormat="false" ht="15" hidden="false" customHeight="false" outlineLevel="0" collapsed="false">
      <c r="A275" s="19" t="s">
        <v>397</v>
      </c>
      <c r="B275" s="22" t="n">
        <v>320</v>
      </c>
      <c r="C275" s="19" t="n">
        <v>17</v>
      </c>
      <c r="D275" s="23" t="n">
        <v>3.06</v>
      </c>
      <c r="E275" s="19" t="s">
        <v>135</v>
      </c>
      <c r="F275" s="19" t="s">
        <v>136</v>
      </c>
      <c r="G275" s="19" t="s">
        <v>265</v>
      </c>
      <c r="H275" s="19"/>
      <c r="I275" s="24" t="n">
        <f aca="false">IF(AND(ISNUMBER(B275),ISNUMBER(D275)),B275*D275,0)</f>
        <v>979.2</v>
      </c>
    </row>
    <row r="276" customFormat="false" ht="15" hidden="false" customHeight="false" outlineLevel="0" collapsed="false">
      <c r="A276" s="19" t="s">
        <v>398</v>
      </c>
      <c r="B276" s="22" t="n">
        <v>320</v>
      </c>
      <c r="C276" s="19" t="n">
        <v>28</v>
      </c>
      <c r="D276" s="23" t="n">
        <v>0</v>
      </c>
      <c r="E276" s="19" t="s">
        <v>157</v>
      </c>
      <c r="F276" s="19" t="s">
        <v>136</v>
      </c>
      <c r="G276" s="19" t="s">
        <v>265</v>
      </c>
      <c r="H276" s="19"/>
      <c r="I276" s="24" t="n">
        <f aca="false">IF(AND(ISNUMBER(B276),ISNUMBER(D276)),B276*D276,0)</f>
        <v>0</v>
      </c>
    </row>
    <row r="277" customFormat="false" ht="15" hidden="false" customHeight="false" outlineLevel="0" collapsed="false">
      <c r="A277" s="19" t="s">
        <v>399</v>
      </c>
      <c r="B277" s="22" t="n">
        <v>320</v>
      </c>
      <c r="C277" s="19" t="n">
        <v>19</v>
      </c>
      <c r="D277" s="23" t="n">
        <v>0</v>
      </c>
      <c r="E277" s="19" t="s">
        <v>145</v>
      </c>
      <c r="F277" s="19" t="s">
        <v>136</v>
      </c>
      <c r="G277" s="19" t="s">
        <v>265</v>
      </c>
      <c r="H277" s="19"/>
      <c r="I277" s="24" t="n">
        <f aca="false">IF(AND(ISNUMBER(B277),ISNUMBER(D277)),B277*D277,0)</f>
        <v>0</v>
      </c>
    </row>
    <row r="278" customFormat="false" ht="15" hidden="false" customHeight="false" outlineLevel="0" collapsed="false">
      <c r="A278" s="19" t="s">
        <v>400</v>
      </c>
      <c r="B278" s="22" t="n">
        <v>320</v>
      </c>
      <c r="C278" s="19" t="n">
        <v>27</v>
      </c>
      <c r="D278" s="23" t="n">
        <v>0</v>
      </c>
      <c r="E278" s="19" t="s">
        <v>220</v>
      </c>
      <c r="F278" s="19" t="s">
        <v>136</v>
      </c>
      <c r="G278" s="19" t="s">
        <v>265</v>
      </c>
      <c r="H278" s="19"/>
      <c r="I278" s="24" t="n">
        <f aca="false">IF(AND(ISNUMBER(B278),ISNUMBER(D278)),B278*D278,0)</f>
        <v>0</v>
      </c>
    </row>
    <row r="279" customFormat="false" ht="15" hidden="false" customHeight="false" outlineLevel="0" collapsed="false">
      <c r="A279" s="19" t="s">
        <v>401</v>
      </c>
      <c r="B279" s="22" t="n">
        <v>320</v>
      </c>
      <c r="C279" s="19" t="n">
        <v>27</v>
      </c>
      <c r="D279" s="23" t="n">
        <v>0</v>
      </c>
      <c r="E279" s="19" t="s">
        <v>145</v>
      </c>
      <c r="F279" s="19" t="s">
        <v>136</v>
      </c>
      <c r="G279" s="19" t="s">
        <v>265</v>
      </c>
      <c r="H279" s="19"/>
      <c r="I279" s="24" t="n">
        <f aca="false">IF(AND(ISNUMBER(B279),ISNUMBER(D279)),B279*D279,0)</f>
        <v>0</v>
      </c>
    </row>
    <row r="280" customFormat="false" ht="15" hidden="false" customHeight="false" outlineLevel="0" collapsed="false">
      <c r="A280" s="19" t="s">
        <v>402</v>
      </c>
      <c r="B280" s="22" t="n">
        <v>320</v>
      </c>
      <c r="C280" s="19" t="n">
        <v>27</v>
      </c>
      <c r="D280" s="23" t="n">
        <v>0</v>
      </c>
      <c r="E280" s="19" t="s">
        <v>145</v>
      </c>
      <c r="F280" s="19" t="s">
        <v>136</v>
      </c>
      <c r="G280" s="19" t="s">
        <v>265</v>
      </c>
      <c r="H280" s="19"/>
      <c r="I280" s="24" t="n">
        <f aca="false">IF(AND(ISNUMBER(B280),ISNUMBER(D280)),B280*D280,0)</f>
        <v>0</v>
      </c>
    </row>
    <row r="281" customFormat="false" ht="15" hidden="false" customHeight="false" outlineLevel="0" collapsed="false">
      <c r="A281" s="19" t="s">
        <v>403</v>
      </c>
      <c r="B281" s="22" t="n">
        <v>320</v>
      </c>
      <c r="C281" s="19" t="n">
        <v>23</v>
      </c>
      <c r="D281" s="23" t="n">
        <v>0.7</v>
      </c>
      <c r="E281" s="19" t="s">
        <v>145</v>
      </c>
      <c r="F281" s="19" t="s">
        <v>136</v>
      </c>
      <c r="G281" s="19" t="s">
        <v>265</v>
      </c>
      <c r="H281" s="19"/>
      <c r="I281" s="24" t="n">
        <f aca="false">IF(AND(ISNUMBER(B281),ISNUMBER(D281)),B281*D281,0)</f>
        <v>224</v>
      </c>
    </row>
    <row r="282" customFormat="false" ht="15" hidden="false" customHeight="false" outlineLevel="0" collapsed="false">
      <c r="A282" s="19" t="s">
        <v>404</v>
      </c>
      <c r="B282" s="22" t="n">
        <v>320</v>
      </c>
      <c r="C282" s="19" t="n">
        <v>29</v>
      </c>
      <c r="D282" s="23" t="n">
        <v>0.91</v>
      </c>
      <c r="E282" s="19" t="s">
        <v>145</v>
      </c>
      <c r="F282" s="19" t="s">
        <v>136</v>
      </c>
      <c r="G282" s="19" t="s">
        <v>265</v>
      </c>
      <c r="H282" s="19"/>
      <c r="I282" s="24" t="n">
        <f aca="false">IF(AND(ISNUMBER(B282),ISNUMBER(D282)),B282*D282,0)</f>
        <v>291.2</v>
      </c>
    </row>
    <row r="283" customFormat="false" ht="15" hidden="false" customHeight="false" outlineLevel="0" collapsed="false">
      <c r="A283" s="19" t="s">
        <v>405</v>
      </c>
      <c r="B283" s="22" t="n">
        <v>320</v>
      </c>
      <c r="C283" s="19" t="n">
        <v>26</v>
      </c>
      <c r="D283" s="23" t="n">
        <v>0.44</v>
      </c>
      <c r="E283" s="19" t="s">
        <v>135</v>
      </c>
      <c r="F283" s="19" t="s">
        <v>136</v>
      </c>
      <c r="G283" s="19" t="s">
        <v>265</v>
      </c>
      <c r="H283" s="19"/>
      <c r="I283" s="24" t="n">
        <f aca="false">IF(AND(ISNUMBER(B283),ISNUMBER(D283)),B283*D283,0)</f>
        <v>140.8</v>
      </c>
    </row>
    <row r="284" customFormat="false" ht="15" hidden="false" customHeight="false" outlineLevel="0" collapsed="false">
      <c r="A284" s="19" t="s">
        <v>406</v>
      </c>
      <c r="B284" s="22" t="n">
        <v>320</v>
      </c>
      <c r="C284" s="19" t="n">
        <v>11</v>
      </c>
      <c r="D284" s="23" t="n">
        <v>0.22</v>
      </c>
      <c r="E284" s="19" t="s">
        <v>145</v>
      </c>
      <c r="F284" s="19" t="s">
        <v>136</v>
      </c>
      <c r="G284" s="19" t="s">
        <v>265</v>
      </c>
      <c r="H284" s="19"/>
      <c r="I284" s="24" t="n">
        <f aca="false">IF(AND(ISNUMBER(B284),ISNUMBER(D284)),B284*D284,0)</f>
        <v>70.4</v>
      </c>
    </row>
    <row r="285" customFormat="false" ht="15" hidden="false" customHeight="false" outlineLevel="0" collapsed="false">
      <c r="A285" s="19" t="s">
        <v>407</v>
      </c>
      <c r="B285" s="22" t="n">
        <v>260</v>
      </c>
      <c r="C285" s="19" t="n">
        <v>10</v>
      </c>
      <c r="D285" s="23" t="n">
        <v>0.53</v>
      </c>
      <c r="E285" s="19" t="s">
        <v>185</v>
      </c>
      <c r="F285" s="19" t="s">
        <v>140</v>
      </c>
      <c r="G285" s="19" t="s">
        <v>265</v>
      </c>
      <c r="H285" s="19"/>
      <c r="I285" s="24" t="n">
        <f aca="false">IF(AND(ISNUMBER(B285),ISNUMBER(D285)),B285*D285,0)</f>
        <v>137.8</v>
      </c>
    </row>
    <row r="286" customFormat="false" ht="15" hidden="false" customHeight="false" outlineLevel="0" collapsed="false">
      <c r="A286" s="19" t="s">
        <v>408</v>
      </c>
      <c r="B286" s="22" t="n">
        <v>260</v>
      </c>
      <c r="C286" s="19" t="n">
        <v>24</v>
      </c>
      <c r="D286" s="23" t="n">
        <v>0.52</v>
      </c>
      <c r="E286" s="19" t="s">
        <v>168</v>
      </c>
      <c r="F286" s="19" t="s">
        <v>140</v>
      </c>
      <c r="G286" s="19" t="s">
        <v>265</v>
      </c>
      <c r="H286" s="19"/>
      <c r="I286" s="24" t="n">
        <f aca="false">IF(AND(ISNUMBER(B286),ISNUMBER(D286)),B286*D286,0)</f>
        <v>135.2</v>
      </c>
    </row>
    <row r="287" customFormat="false" ht="15" hidden="false" customHeight="false" outlineLevel="0" collapsed="false">
      <c r="A287" s="19" t="s">
        <v>409</v>
      </c>
      <c r="B287" s="22" t="n">
        <v>260</v>
      </c>
      <c r="C287" s="19" t="n">
        <v>23</v>
      </c>
      <c r="D287" s="23" t="n">
        <v>1.57</v>
      </c>
      <c r="E287" s="19" t="s">
        <v>145</v>
      </c>
      <c r="F287" s="19" t="s">
        <v>140</v>
      </c>
      <c r="G287" s="19" t="s">
        <v>265</v>
      </c>
      <c r="H287" s="19"/>
      <c r="I287" s="24" t="n">
        <f aca="false">IF(AND(ISNUMBER(B287),ISNUMBER(D287)),B287*D287,0)</f>
        <v>408.2</v>
      </c>
    </row>
    <row r="288" customFormat="false" ht="15" hidden="false" customHeight="false" outlineLevel="0" collapsed="false">
      <c r="A288" s="19" t="s">
        <v>410</v>
      </c>
      <c r="B288" s="22" t="n">
        <v>260</v>
      </c>
      <c r="C288" s="19" t="n">
        <v>8</v>
      </c>
      <c r="D288" s="23" t="n">
        <v>0.49</v>
      </c>
      <c r="E288" s="19" t="s">
        <v>175</v>
      </c>
      <c r="F288" s="19" t="s">
        <v>140</v>
      </c>
      <c r="G288" s="19" t="s">
        <v>265</v>
      </c>
      <c r="H288" s="19"/>
      <c r="I288" s="24" t="n">
        <f aca="false">IF(AND(ISNUMBER(B288),ISNUMBER(D288)),B288*D288,0)</f>
        <v>127.4</v>
      </c>
    </row>
    <row r="289" customFormat="false" ht="15" hidden="false" customHeight="false" outlineLevel="0" collapsed="false">
      <c r="A289" s="19" t="s">
        <v>411</v>
      </c>
      <c r="B289" s="22" t="n">
        <v>260</v>
      </c>
      <c r="C289" s="19" t="n">
        <v>28</v>
      </c>
      <c r="D289" s="23" t="n">
        <v>1.33</v>
      </c>
      <c r="E289" s="19" t="s">
        <v>135</v>
      </c>
      <c r="F289" s="19" t="s">
        <v>140</v>
      </c>
      <c r="G289" s="19" t="s">
        <v>265</v>
      </c>
      <c r="H289" s="19"/>
      <c r="I289" s="24" t="n">
        <f aca="false">IF(AND(ISNUMBER(B289),ISNUMBER(D289)),B289*D289,0)</f>
        <v>345.8</v>
      </c>
    </row>
    <row r="290" customFormat="false" ht="15" hidden="false" customHeight="false" outlineLevel="0" collapsed="false">
      <c r="A290" s="19" t="s">
        <v>412</v>
      </c>
      <c r="B290" s="22" t="n">
        <v>260</v>
      </c>
      <c r="C290" s="19" t="n">
        <v>28</v>
      </c>
      <c r="D290" s="23" t="n">
        <v>0</v>
      </c>
      <c r="E290" s="19" t="s">
        <v>168</v>
      </c>
      <c r="F290" s="19" t="s">
        <v>161</v>
      </c>
      <c r="G290" s="19" t="s">
        <v>265</v>
      </c>
      <c r="H290" s="19"/>
      <c r="I290" s="24" t="n">
        <f aca="false">IF(AND(ISNUMBER(B290),ISNUMBER(D290)),B290*D290,0)</f>
        <v>0</v>
      </c>
    </row>
    <row r="291" customFormat="false" ht="15" hidden="false" customHeight="false" outlineLevel="0" collapsed="false">
      <c r="A291" s="19" t="s">
        <v>413</v>
      </c>
      <c r="B291" s="22" t="n">
        <v>260</v>
      </c>
      <c r="C291" s="19" t="n">
        <v>19</v>
      </c>
      <c r="D291" s="23" t="n">
        <v>0.65</v>
      </c>
      <c r="E291" s="19" t="s">
        <v>168</v>
      </c>
      <c r="F291" s="19" t="s">
        <v>161</v>
      </c>
      <c r="G291" s="19" t="s">
        <v>265</v>
      </c>
      <c r="H291" s="19"/>
      <c r="I291" s="24" t="n">
        <f aca="false">IF(AND(ISNUMBER(B291),ISNUMBER(D291)),B291*D291,0)</f>
        <v>169</v>
      </c>
    </row>
    <row r="292" customFormat="false" ht="15" hidden="false" customHeight="false" outlineLevel="0" collapsed="false">
      <c r="A292" s="19" t="s">
        <v>414</v>
      </c>
      <c r="B292" s="22" t="n">
        <v>260</v>
      </c>
      <c r="C292" s="19" t="n">
        <v>11</v>
      </c>
      <c r="D292" s="23" t="n">
        <v>0.43</v>
      </c>
      <c r="E292" s="19" t="s">
        <v>185</v>
      </c>
      <c r="F292" s="19" t="s">
        <v>161</v>
      </c>
      <c r="G292" s="19" t="s">
        <v>265</v>
      </c>
      <c r="H292" s="19"/>
      <c r="I292" s="24" t="n">
        <f aca="false">IF(AND(ISNUMBER(B292),ISNUMBER(D292)),B292*D292,0)</f>
        <v>111.8</v>
      </c>
    </row>
    <row r="293" customFormat="false" ht="15" hidden="false" customHeight="false" outlineLevel="0" collapsed="false">
      <c r="A293" s="19" t="s">
        <v>415</v>
      </c>
      <c r="B293" s="22" t="n">
        <v>260</v>
      </c>
      <c r="C293" s="19" t="n">
        <v>16</v>
      </c>
      <c r="D293" s="23" t="n">
        <v>0.32</v>
      </c>
      <c r="E293" s="19" t="s">
        <v>168</v>
      </c>
      <c r="F293" s="19" t="s">
        <v>161</v>
      </c>
      <c r="G293" s="19" t="s">
        <v>265</v>
      </c>
      <c r="H293" s="19"/>
      <c r="I293" s="24" t="n">
        <f aca="false">IF(AND(ISNUMBER(B293),ISNUMBER(D293)),B293*D293,0)</f>
        <v>83.2</v>
      </c>
    </row>
    <row r="294" customFormat="false" ht="15" hidden="false" customHeight="false" outlineLevel="0" collapsed="false">
      <c r="A294" s="19" t="s">
        <v>416</v>
      </c>
      <c r="B294" s="22" t="n">
        <v>260</v>
      </c>
      <c r="C294" s="19" t="n">
        <v>29</v>
      </c>
      <c r="D294" s="23" t="n">
        <v>0.57</v>
      </c>
      <c r="E294" s="19" t="s">
        <v>145</v>
      </c>
      <c r="F294" s="19" t="s">
        <v>161</v>
      </c>
      <c r="G294" s="19" t="s">
        <v>265</v>
      </c>
      <c r="H294" s="19"/>
      <c r="I294" s="24" t="n">
        <f aca="false">IF(AND(ISNUMBER(B294),ISNUMBER(D294)),B294*D294,0)</f>
        <v>148.2</v>
      </c>
    </row>
    <row r="295" customFormat="false" ht="15" hidden="false" customHeight="false" outlineLevel="0" collapsed="false">
      <c r="A295" s="19" t="s">
        <v>417</v>
      </c>
      <c r="B295" s="22" t="n">
        <v>260</v>
      </c>
      <c r="C295" s="19" t="n">
        <v>13</v>
      </c>
      <c r="D295" s="23" t="n">
        <v>0</v>
      </c>
      <c r="E295" s="19" t="s">
        <v>135</v>
      </c>
      <c r="F295" s="19" t="s">
        <v>161</v>
      </c>
      <c r="G295" s="19" t="s">
        <v>265</v>
      </c>
      <c r="H295" s="19"/>
      <c r="I295" s="24" t="n">
        <f aca="false">IF(AND(ISNUMBER(B295),ISNUMBER(D295)),B295*D295,0)</f>
        <v>0</v>
      </c>
    </row>
    <row r="296" customFormat="false" ht="15" hidden="false" customHeight="false" outlineLevel="0" collapsed="false">
      <c r="A296" s="19" t="s">
        <v>418</v>
      </c>
      <c r="B296" s="22" t="n">
        <v>260</v>
      </c>
      <c r="C296" s="19" t="n">
        <v>18</v>
      </c>
      <c r="D296" s="23" t="n">
        <v>2.6</v>
      </c>
      <c r="E296" s="19" t="s">
        <v>135</v>
      </c>
      <c r="F296" s="19" t="s">
        <v>161</v>
      </c>
      <c r="G296" s="19" t="s">
        <v>265</v>
      </c>
      <c r="H296" s="19"/>
      <c r="I296" s="24" t="n">
        <f aca="false">IF(AND(ISNUMBER(B296),ISNUMBER(D296)),B296*D296,0)</f>
        <v>676</v>
      </c>
    </row>
    <row r="297" customFormat="false" ht="15" hidden="false" customHeight="false" outlineLevel="0" collapsed="false">
      <c r="A297" s="19" t="s">
        <v>419</v>
      </c>
      <c r="B297" s="22" t="n">
        <v>260</v>
      </c>
      <c r="C297" s="19" t="n">
        <v>18</v>
      </c>
      <c r="D297" s="23" t="n">
        <v>2.14</v>
      </c>
      <c r="E297" s="19" t="s">
        <v>157</v>
      </c>
      <c r="F297" s="19" t="s">
        <v>161</v>
      </c>
      <c r="G297" s="19" t="s">
        <v>265</v>
      </c>
      <c r="H297" s="19"/>
      <c r="I297" s="24" t="n">
        <f aca="false">IF(AND(ISNUMBER(B297),ISNUMBER(D297)),B297*D297,0)</f>
        <v>556.4</v>
      </c>
    </row>
    <row r="298" customFormat="false" ht="15" hidden="false" customHeight="false" outlineLevel="0" collapsed="false">
      <c r="A298" s="19" t="s">
        <v>420</v>
      </c>
      <c r="B298" s="22" t="n">
        <v>260</v>
      </c>
      <c r="C298" s="19" t="n">
        <v>17</v>
      </c>
      <c r="D298" s="23" t="n">
        <v>0.76</v>
      </c>
      <c r="E298" s="19" t="s">
        <v>135</v>
      </c>
      <c r="F298" s="19" t="s">
        <v>161</v>
      </c>
      <c r="G298" s="19" t="s">
        <v>265</v>
      </c>
      <c r="H298" s="19"/>
      <c r="I298" s="24" t="n">
        <f aca="false">IF(AND(ISNUMBER(B298),ISNUMBER(D298)),B298*D298,0)</f>
        <v>197.6</v>
      </c>
    </row>
    <row r="299" customFormat="false" ht="15" hidden="false" customHeight="false" outlineLevel="0" collapsed="false">
      <c r="A299" s="19" t="s">
        <v>421</v>
      </c>
      <c r="B299" s="22" t="n">
        <v>260</v>
      </c>
      <c r="C299" s="19" t="n">
        <v>18</v>
      </c>
      <c r="D299" s="23" t="n">
        <v>0.43</v>
      </c>
      <c r="E299" s="19" t="s">
        <v>135</v>
      </c>
      <c r="F299" s="19" t="s">
        <v>161</v>
      </c>
      <c r="G299" s="19" t="s">
        <v>265</v>
      </c>
      <c r="H299" s="19"/>
      <c r="I299" s="24" t="n">
        <f aca="false">IF(AND(ISNUMBER(B299),ISNUMBER(D299)),B299*D299,0)</f>
        <v>111.8</v>
      </c>
    </row>
    <row r="300" customFormat="false" ht="15" hidden="false" customHeight="false" outlineLevel="0" collapsed="false">
      <c r="A300" s="19" t="s">
        <v>422</v>
      </c>
      <c r="B300" s="22" t="n">
        <v>260</v>
      </c>
      <c r="C300" s="19" t="n">
        <v>16</v>
      </c>
      <c r="D300" s="23" t="n">
        <v>1.98</v>
      </c>
      <c r="E300" s="19" t="s">
        <v>145</v>
      </c>
      <c r="F300" s="19" t="s">
        <v>161</v>
      </c>
      <c r="G300" s="19" t="s">
        <v>265</v>
      </c>
      <c r="H300" s="19"/>
      <c r="I300" s="24" t="n">
        <f aca="false">IF(AND(ISNUMBER(B300),ISNUMBER(D300)),B300*D300,0)</f>
        <v>514.8</v>
      </c>
    </row>
    <row r="301" customFormat="false" ht="15" hidden="false" customHeight="false" outlineLevel="0" collapsed="false">
      <c r="A301" s="19" t="s">
        <v>423</v>
      </c>
      <c r="B301" s="22" t="n">
        <v>260</v>
      </c>
      <c r="C301" s="19" t="n">
        <v>24</v>
      </c>
      <c r="D301" s="23" t="n">
        <v>2.14</v>
      </c>
      <c r="E301" s="19" t="s">
        <v>145</v>
      </c>
      <c r="F301" s="19" t="s">
        <v>161</v>
      </c>
      <c r="G301" s="19" t="s">
        <v>265</v>
      </c>
      <c r="H301" s="19"/>
      <c r="I301" s="24" t="n">
        <f aca="false">IF(AND(ISNUMBER(B301),ISNUMBER(D301)),B301*D301,0)</f>
        <v>556.4</v>
      </c>
    </row>
    <row r="302" customFormat="false" ht="15" hidden="false" customHeight="false" outlineLevel="0" collapsed="false">
      <c r="A302" s="19" t="s">
        <v>424</v>
      </c>
      <c r="B302" s="22" t="n">
        <v>260</v>
      </c>
      <c r="C302" s="19" t="n">
        <v>29</v>
      </c>
      <c r="D302" s="23" t="n">
        <v>2.6</v>
      </c>
      <c r="E302" s="19" t="s">
        <v>135</v>
      </c>
      <c r="F302" s="19" t="s">
        <v>161</v>
      </c>
      <c r="G302" s="19" t="s">
        <v>265</v>
      </c>
      <c r="H302" s="19"/>
      <c r="I302" s="24" t="n">
        <f aca="false">IF(AND(ISNUMBER(B302),ISNUMBER(D302)),B302*D302,0)</f>
        <v>676</v>
      </c>
    </row>
    <row r="303" customFormat="false" ht="15" hidden="false" customHeight="false" outlineLevel="0" collapsed="false">
      <c r="A303" s="19" t="s">
        <v>425</v>
      </c>
      <c r="B303" s="22" t="n">
        <v>260</v>
      </c>
      <c r="C303" s="19" t="n">
        <v>14</v>
      </c>
      <c r="D303" s="23" t="n">
        <v>0.57</v>
      </c>
      <c r="E303" s="19" t="s">
        <v>145</v>
      </c>
      <c r="F303" s="19" t="s">
        <v>161</v>
      </c>
      <c r="G303" s="19" t="s">
        <v>265</v>
      </c>
      <c r="H303" s="19"/>
      <c r="I303" s="24" t="n">
        <f aca="false">IF(AND(ISNUMBER(B303),ISNUMBER(D303)),B303*D303,0)</f>
        <v>148.2</v>
      </c>
    </row>
    <row r="304" customFormat="false" ht="15" hidden="false" customHeight="false" outlineLevel="0" collapsed="false">
      <c r="A304" s="19" t="s">
        <v>426</v>
      </c>
      <c r="B304" s="22" t="n">
        <v>260</v>
      </c>
      <c r="C304" s="19" t="n">
        <v>17</v>
      </c>
      <c r="D304" s="23" t="n">
        <v>0.16</v>
      </c>
      <c r="E304" s="19" t="s">
        <v>145</v>
      </c>
      <c r="F304" s="19" t="s">
        <v>161</v>
      </c>
      <c r="G304" s="19" t="s">
        <v>265</v>
      </c>
      <c r="H304" s="19"/>
      <c r="I304" s="24" t="n">
        <f aca="false">IF(AND(ISNUMBER(B304),ISNUMBER(D304)),B304*D304,0)</f>
        <v>41.6</v>
      </c>
    </row>
    <row r="305" customFormat="false" ht="15" hidden="false" customHeight="false" outlineLevel="0" collapsed="false">
      <c r="A305" s="19" t="s">
        <v>427</v>
      </c>
      <c r="B305" s="22" t="n">
        <v>260</v>
      </c>
      <c r="C305" s="19" t="n">
        <v>18</v>
      </c>
      <c r="D305" s="23" t="n">
        <v>1.15</v>
      </c>
      <c r="E305" s="19" t="s">
        <v>145</v>
      </c>
      <c r="F305" s="19" t="s">
        <v>161</v>
      </c>
      <c r="G305" s="19" t="s">
        <v>265</v>
      </c>
      <c r="H305" s="19"/>
      <c r="I305" s="24" t="n">
        <f aca="false">IF(AND(ISNUMBER(B305),ISNUMBER(D305)),B305*D305,0)</f>
        <v>299</v>
      </c>
    </row>
    <row r="306" customFormat="false" ht="15" hidden="false" customHeight="false" outlineLevel="0" collapsed="false">
      <c r="A306" s="19" t="s">
        <v>428</v>
      </c>
      <c r="B306" s="22" t="n">
        <v>260</v>
      </c>
      <c r="C306" s="19" t="n">
        <v>17</v>
      </c>
      <c r="D306" s="23" t="n">
        <v>1.15</v>
      </c>
      <c r="E306" s="19" t="s">
        <v>135</v>
      </c>
      <c r="F306" s="19" t="s">
        <v>161</v>
      </c>
      <c r="G306" s="19" t="s">
        <v>265</v>
      </c>
      <c r="H306" s="19"/>
      <c r="I306" s="24" t="n">
        <f aca="false">IF(AND(ISNUMBER(B306),ISNUMBER(D306)),B306*D306,0)</f>
        <v>299</v>
      </c>
    </row>
    <row r="307" customFormat="false" ht="15" hidden="false" customHeight="false" outlineLevel="0" collapsed="false">
      <c r="A307" s="19" t="s">
        <v>429</v>
      </c>
      <c r="B307" s="22" t="n">
        <v>260</v>
      </c>
      <c r="C307" s="19" t="n">
        <v>11</v>
      </c>
      <c r="D307" s="23" t="n">
        <v>1.19</v>
      </c>
      <c r="E307" s="19" t="s">
        <v>135</v>
      </c>
      <c r="F307" s="19" t="s">
        <v>161</v>
      </c>
      <c r="G307" s="19" t="s">
        <v>265</v>
      </c>
      <c r="H307" s="19"/>
      <c r="I307" s="24" t="n">
        <f aca="false">IF(AND(ISNUMBER(B307),ISNUMBER(D307)),B307*D307,0)</f>
        <v>309.4</v>
      </c>
    </row>
    <row r="308" customFormat="false" ht="15" hidden="false" customHeight="false" outlineLevel="0" collapsed="false">
      <c r="A308" s="19" t="s">
        <v>430</v>
      </c>
      <c r="B308" s="22" t="n">
        <v>260</v>
      </c>
      <c r="C308" s="19" t="n">
        <v>28</v>
      </c>
      <c r="D308" s="23" t="n">
        <v>0.48</v>
      </c>
      <c r="E308" s="19" t="s">
        <v>135</v>
      </c>
      <c r="F308" s="19" t="s">
        <v>161</v>
      </c>
      <c r="G308" s="19" t="s">
        <v>265</v>
      </c>
      <c r="H308" s="19"/>
      <c r="I308" s="24" t="n">
        <f aca="false">IF(AND(ISNUMBER(B308),ISNUMBER(D308)),B308*D308,0)</f>
        <v>124.8</v>
      </c>
    </row>
    <row r="309" customFormat="false" ht="15" hidden="false" customHeight="false" outlineLevel="0" collapsed="false">
      <c r="A309" s="19" t="s">
        <v>431</v>
      </c>
      <c r="B309" s="22" t="n">
        <v>260</v>
      </c>
      <c r="C309" s="19" t="n">
        <v>16</v>
      </c>
      <c r="D309" s="23" t="n">
        <v>1.19</v>
      </c>
      <c r="E309" s="19" t="s">
        <v>135</v>
      </c>
      <c r="F309" s="19" t="s">
        <v>161</v>
      </c>
      <c r="G309" s="19" t="s">
        <v>265</v>
      </c>
      <c r="H309" s="19"/>
      <c r="I309" s="24" t="n">
        <f aca="false">IF(AND(ISNUMBER(B309),ISNUMBER(D309)),B309*D309,0)</f>
        <v>309.4</v>
      </c>
    </row>
    <row r="310" customFormat="false" ht="15" hidden="false" customHeight="false" outlineLevel="0" collapsed="false">
      <c r="A310" s="19" t="s">
        <v>432</v>
      </c>
      <c r="B310" s="22" t="n">
        <v>260</v>
      </c>
      <c r="C310" s="19" t="n">
        <v>25</v>
      </c>
      <c r="D310" s="23" t="n">
        <v>0</v>
      </c>
      <c r="E310" s="19" t="s">
        <v>145</v>
      </c>
      <c r="F310" s="19" t="s">
        <v>136</v>
      </c>
      <c r="G310" s="19" t="s">
        <v>265</v>
      </c>
      <c r="H310" s="19"/>
      <c r="I310" s="24" t="n">
        <f aca="false">IF(AND(ISNUMBER(B310),ISNUMBER(D310)),B310*D310,0)</f>
        <v>0</v>
      </c>
    </row>
    <row r="311" customFormat="false" ht="15" hidden="false" customHeight="false" outlineLevel="0" collapsed="false">
      <c r="A311" s="19" t="s">
        <v>433</v>
      </c>
      <c r="B311" s="22" t="n">
        <v>260</v>
      </c>
      <c r="C311" s="19" t="n">
        <v>23</v>
      </c>
      <c r="D311" s="23" t="n">
        <v>0</v>
      </c>
      <c r="E311" s="19" t="s">
        <v>145</v>
      </c>
      <c r="F311" s="19" t="s">
        <v>136</v>
      </c>
      <c r="G311" s="19" t="s">
        <v>265</v>
      </c>
      <c r="H311" s="19"/>
      <c r="I311" s="24" t="n">
        <f aca="false">IF(AND(ISNUMBER(B311),ISNUMBER(D311)),B311*D311,0)</f>
        <v>0</v>
      </c>
    </row>
    <row r="312" customFormat="false" ht="15" hidden="false" customHeight="false" outlineLevel="0" collapsed="false">
      <c r="A312" s="19" t="s">
        <v>434</v>
      </c>
      <c r="B312" s="22" t="n">
        <v>260</v>
      </c>
      <c r="C312" s="19" t="n">
        <v>23</v>
      </c>
      <c r="D312" s="23" t="n">
        <v>0.58</v>
      </c>
      <c r="E312" s="19" t="s">
        <v>135</v>
      </c>
      <c r="F312" s="19" t="s">
        <v>136</v>
      </c>
      <c r="G312" s="19" t="s">
        <v>265</v>
      </c>
      <c r="H312" s="19"/>
      <c r="I312" s="24" t="n">
        <f aca="false">IF(AND(ISNUMBER(B312),ISNUMBER(D312)),B312*D312,0)</f>
        <v>150.8</v>
      </c>
    </row>
    <row r="313" customFormat="false" ht="15" hidden="false" customHeight="false" outlineLevel="0" collapsed="false">
      <c r="A313" s="19" t="s">
        <v>435</v>
      </c>
      <c r="B313" s="22" t="n">
        <v>260</v>
      </c>
      <c r="C313" s="19" t="n">
        <v>28</v>
      </c>
      <c r="D313" s="23" t="n">
        <v>0.88</v>
      </c>
      <c r="E313" s="19" t="s">
        <v>135</v>
      </c>
      <c r="F313" s="19" t="s">
        <v>136</v>
      </c>
      <c r="G313" s="19" t="s">
        <v>265</v>
      </c>
      <c r="H313" s="19"/>
      <c r="I313" s="24" t="n">
        <f aca="false">IF(AND(ISNUMBER(B313),ISNUMBER(D313)),B313*D313,0)</f>
        <v>228.8</v>
      </c>
    </row>
    <row r="314" customFormat="false" ht="15" hidden="false" customHeight="false" outlineLevel="0" collapsed="false">
      <c r="A314" s="19" t="s">
        <v>436</v>
      </c>
      <c r="B314" s="22" t="n">
        <v>260</v>
      </c>
      <c r="C314" s="19" t="n">
        <v>21</v>
      </c>
      <c r="D314" s="23" t="n">
        <v>0.4</v>
      </c>
      <c r="E314" s="19" t="s">
        <v>145</v>
      </c>
      <c r="F314" s="19" t="s">
        <v>136</v>
      </c>
      <c r="G314" s="19" t="s">
        <v>265</v>
      </c>
      <c r="H314" s="19"/>
      <c r="I314" s="24" t="n">
        <f aca="false">IF(AND(ISNUMBER(B314),ISNUMBER(D314)),B314*D314,0)</f>
        <v>104</v>
      </c>
    </row>
    <row r="315" customFormat="false" ht="15" hidden="false" customHeight="false" outlineLevel="0" collapsed="false">
      <c r="A315" s="19" t="s">
        <v>437</v>
      </c>
      <c r="B315" s="22" t="n">
        <v>260</v>
      </c>
      <c r="C315" s="19" t="n">
        <v>28</v>
      </c>
      <c r="D315" s="23" t="n">
        <v>0.59</v>
      </c>
      <c r="E315" s="19" t="s">
        <v>145</v>
      </c>
      <c r="F315" s="19" t="s">
        <v>136</v>
      </c>
      <c r="G315" s="19" t="s">
        <v>265</v>
      </c>
      <c r="H315" s="19"/>
      <c r="I315" s="24" t="n">
        <f aca="false">IF(AND(ISNUMBER(B315),ISNUMBER(D315)),B315*D315,0)</f>
        <v>153.4</v>
      </c>
    </row>
    <row r="316" customFormat="false" ht="15" hidden="false" customHeight="false" outlineLevel="0" collapsed="false">
      <c r="A316" s="19" t="s">
        <v>438</v>
      </c>
      <c r="B316" s="22" t="n">
        <v>210</v>
      </c>
      <c r="C316" s="19" t="n">
        <v>23</v>
      </c>
      <c r="D316" s="23" t="n">
        <v>0.45</v>
      </c>
      <c r="E316" s="19" t="s">
        <v>290</v>
      </c>
      <c r="F316" s="19" t="s">
        <v>140</v>
      </c>
      <c r="G316" s="19" t="s">
        <v>265</v>
      </c>
      <c r="H316" s="19"/>
      <c r="I316" s="24" t="n">
        <f aca="false">IF(AND(ISNUMBER(B316),ISNUMBER(D316)),B316*D316,0)</f>
        <v>94.5</v>
      </c>
    </row>
    <row r="317" customFormat="false" ht="15" hidden="false" customHeight="false" outlineLevel="0" collapsed="false">
      <c r="A317" s="19" t="s">
        <v>439</v>
      </c>
      <c r="B317" s="22" t="n">
        <v>210</v>
      </c>
      <c r="C317" s="19" t="n">
        <v>20</v>
      </c>
      <c r="D317" s="23" t="n">
        <v>0</v>
      </c>
      <c r="E317" s="19" t="s">
        <v>168</v>
      </c>
      <c r="F317" s="19" t="s">
        <v>140</v>
      </c>
      <c r="G317" s="19" t="s">
        <v>265</v>
      </c>
      <c r="H317" s="19"/>
      <c r="I317" s="24" t="n">
        <f aca="false">IF(AND(ISNUMBER(B317),ISNUMBER(D317)),B317*D317,0)</f>
        <v>0</v>
      </c>
    </row>
    <row r="318" customFormat="false" ht="15" hidden="false" customHeight="false" outlineLevel="0" collapsed="false">
      <c r="A318" s="19" t="s">
        <v>440</v>
      </c>
      <c r="B318" s="22" t="n">
        <v>210</v>
      </c>
      <c r="C318" s="19" t="n">
        <v>26</v>
      </c>
      <c r="D318" s="23" t="n">
        <v>0</v>
      </c>
      <c r="E318" s="19" t="s">
        <v>168</v>
      </c>
      <c r="F318" s="19" t="s">
        <v>140</v>
      </c>
      <c r="G318" s="19" t="s">
        <v>265</v>
      </c>
      <c r="H318" s="19"/>
      <c r="I318" s="24" t="n">
        <f aca="false">IF(AND(ISNUMBER(B318),ISNUMBER(D318)),B318*D318,0)</f>
        <v>0</v>
      </c>
    </row>
    <row r="319" customFormat="false" ht="15" hidden="false" customHeight="false" outlineLevel="0" collapsed="false">
      <c r="A319" s="19" t="s">
        <v>441</v>
      </c>
      <c r="B319" s="22" t="n">
        <v>210</v>
      </c>
      <c r="C319" s="19" t="n">
        <v>28</v>
      </c>
      <c r="D319" s="23" t="n">
        <v>1.52</v>
      </c>
      <c r="E319" s="19" t="s">
        <v>145</v>
      </c>
      <c r="F319" s="19" t="s">
        <v>140</v>
      </c>
      <c r="G319" s="19" t="s">
        <v>265</v>
      </c>
      <c r="H319" s="19"/>
      <c r="I319" s="24" t="n">
        <f aca="false">IF(AND(ISNUMBER(B319),ISNUMBER(D319)),B319*D319,0)</f>
        <v>319.2</v>
      </c>
    </row>
    <row r="320" customFormat="false" ht="15" hidden="false" customHeight="false" outlineLevel="0" collapsed="false">
      <c r="A320" s="19" t="s">
        <v>442</v>
      </c>
      <c r="B320" s="22" t="n">
        <v>210</v>
      </c>
      <c r="C320" s="19" t="n">
        <v>23</v>
      </c>
      <c r="D320" s="23" t="n">
        <v>0</v>
      </c>
      <c r="E320" s="19" t="s">
        <v>135</v>
      </c>
      <c r="F320" s="19" t="s">
        <v>140</v>
      </c>
      <c r="G320" s="19" t="s">
        <v>265</v>
      </c>
      <c r="H320" s="19"/>
      <c r="I320" s="24" t="n">
        <f aca="false">IF(AND(ISNUMBER(B320),ISNUMBER(D320)),B320*D320,0)</f>
        <v>0</v>
      </c>
    </row>
    <row r="321" customFormat="false" ht="15" hidden="false" customHeight="false" outlineLevel="0" collapsed="false">
      <c r="A321" s="19" t="s">
        <v>443</v>
      </c>
      <c r="B321" s="22" t="n">
        <v>210</v>
      </c>
      <c r="C321" s="19" t="n">
        <v>25</v>
      </c>
      <c r="D321" s="23" t="n">
        <v>0.95</v>
      </c>
      <c r="E321" s="19" t="s">
        <v>145</v>
      </c>
      <c r="F321" s="19" t="s">
        <v>140</v>
      </c>
      <c r="G321" s="19" t="s">
        <v>265</v>
      </c>
      <c r="H321" s="19"/>
      <c r="I321" s="24" t="n">
        <f aca="false">IF(AND(ISNUMBER(B321),ISNUMBER(D321)),B321*D321,0)</f>
        <v>199.5</v>
      </c>
    </row>
    <row r="322" customFormat="false" ht="15" hidden="false" customHeight="false" outlineLevel="0" collapsed="false">
      <c r="A322" s="19" t="s">
        <v>444</v>
      </c>
      <c r="B322" s="22" t="n">
        <v>210</v>
      </c>
      <c r="C322" s="19" t="n">
        <v>21</v>
      </c>
      <c r="D322" s="23" t="n">
        <v>1.43</v>
      </c>
      <c r="E322" s="19"/>
      <c r="F322" s="19" t="s">
        <v>140</v>
      </c>
      <c r="G322" s="19" t="s">
        <v>265</v>
      </c>
      <c r="H322" s="19"/>
      <c r="I322" s="24" t="n">
        <f aca="false">IF(AND(ISNUMBER(B322),ISNUMBER(D322)),B322*D322,0)</f>
        <v>300.3</v>
      </c>
    </row>
    <row r="323" customFormat="false" ht="15" hidden="false" customHeight="false" outlineLevel="0" collapsed="false">
      <c r="A323" s="19" t="s">
        <v>445</v>
      </c>
      <c r="B323" s="22" t="n">
        <v>210</v>
      </c>
      <c r="C323" s="19" t="n">
        <v>24</v>
      </c>
      <c r="D323" s="23" t="n">
        <v>0.98</v>
      </c>
      <c r="E323" s="19" t="s">
        <v>145</v>
      </c>
      <c r="F323" s="19" t="s">
        <v>140</v>
      </c>
      <c r="G323" s="19" t="s">
        <v>265</v>
      </c>
      <c r="H323" s="19"/>
      <c r="I323" s="24" t="n">
        <f aca="false">IF(AND(ISNUMBER(B323),ISNUMBER(D323)),B323*D323,0)</f>
        <v>205.8</v>
      </c>
    </row>
    <row r="324" customFormat="false" ht="15" hidden="false" customHeight="false" outlineLevel="0" collapsed="false">
      <c r="A324" s="19" t="s">
        <v>446</v>
      </c>
      <c r="B324" s="22" t="n">
        <v>210</v>
      </c>
      <c r="C324" s="19" t="n">
        <v>20</v>
      </c>
      <c r="D324" s="23" t="n">
        <v>0</v>
      </c>
      <c r="E324" s="19" t="s">
        <v>145</v>
      </c>
      <c r="F324" s="19" t="s">
        <v>140</v>
      </c>
      <c r="G324" s="19" t="s">
        <v>265</v>
      </c>
      <c r="H324" s="19"/>
      <c r="I324" s="24" t="n">
        <f aca="false">IF(AND(ISNUMBER(B324),ISNUMBER(D324)),B324*D324,0)</f>
        <v>0</v>
      </c>
    </row>
    <row r="325" customFormat="false" ht="15" hidden="false" customHeight="false" outlineLevel="0" collapsed="false">
      <c r="A325" s="19" t="s">
        <v>447</v>
      </c>
      <c r="B325" s="22" t="n">
        <v>210</v>
      </c>
      <c r="C325" s="19" t="n">
        <v>16</v>
      </c>
      <c r="D325" s="23" t="n">
        <v>0</v>
      </c>
      <c r="E325" s="19" t="s">
        <v>168</v>
      </c>
      <c r="F325" s="19" t="s">
        <v>161</v>
      </c>
      <c r="G325" s="19" t="s">
        <v>265</v>
      </c>
      <c r="H325" s="19"/>
      <c r="I325" s="24" t="n">
        <f aca="false">IF(AND(ISNUMBER(B325),ISNUMBER(D325)),B325*D325,0)</f>
        <v>0</v>
      </c>
    </row>
    <row r="326" customFormat="false" ht="15" hidden="false" customHeight="false" outlineLevel="0" collapsed="false">
      <c r="A326" s="19" t="s">
        <v>448</v>
      </c>
      <c r="B326" s="22" t="n">
        <v>210</v>
      </c>
      <c r="C326" s="19" t="n">
        <v>27</v>
      </c>
      <c r="D326" s="23" t="n">
        <v>0.36</v>
      </c>
      <c r="E326" s="19" t="s">
        <v>168</v>
      </c>
      <c r="F326" s="19" t="s">
        <v>161</v>
      </c>
      <c r="G326" s="19" t="s">
        <v>265</v>
      </c>
      <c r="H326" s="19"/>
      <c r="I326" s="24" t="n">
        <f aca="false">IF(AND(ISNUMBER(B326),ISNUMBER(D326)),B326*D326,0)</f>
        <v>75.6</v>
      </c>
    </row>
    <row r="327" customFormat="false" ht="15" hidden="false" customHeight="false" outlineLevel="0" collapsed="false">
      <c r="A327" s="19" t="s">
        <v>449</v>
      </c>
      <c r="B327" s="22" t="n">
        <v>210</v>
      </c>
      <c r="C327" s="19" t="n">
        <v>23</v>
      </c>
      <c r="D327" s="23" t="n">
        <v>0</v>
      </c>
      <c r="E327" s="19" t="s">
        <v>284</v>
      </c>
      <c r="F327" s="19" t="s">
        <v>161</v>
      </c>
      <c r="G327" s="19" t="s">
        <v>265</v>
      </c>
      <c r="H327" s="19"/>
      <c r="I327" s="24" t="n">
        <f aca="false">IF(AND(ISNUMBER(B327),ISNUMBER(D327)),B327*D327,0)</f>
        <v>0</v>
      </c>
    </row>
    <row r="328" customFormat="false" ht="15" hidden="false" customHeight="false" outlineLevel="0" collapsed="false">
      <c r="A328" s="19" t="s">
        <v>450</v>
      </c>
      <c r="B328" s="22" t="n">
        <v>210</v>
      </c>
      <c r="C328" s="19" t="n">
        <v>24</v>
      </c>
      <c r="D328" s="23" t="n">
        <v>0.72</v>
      </c>
      <c r="E328" s="19" t="s">
        <v>168</v>
      </c>
      <c r="F328" s="19" t="s">
        <v>161</v>
      </c>
      <c r="G328" s="19" t="s">
        <v>265</v>
      </c>
      <c r="H328" s="19"/>
      <c r="I328" s="24" t="n">
        <f aca="false">IF(AND(ISNUMBER(B328),ISNUMBER(D328)),B328*D328,0)</f>
        <v>151.2</v>
      </c>
    </row>
    <row r="329" customFormat="false" ht="15" hidden="false" customHeight="false" outlineLevel="0" collapsed="false">
      <c r="A329" s="19" t="s">
        <v>451</v>
      </c>
      <c r="B329" s="22" t="n">
        <v>210</v>
      </c>
      <c r="C329" s="19" t="n">
        <v>29</v>
      </c>
      <c r="D329" s="23" t="n">
        <v>0.6</v>
      </c>
      <c r="E329" s="19" t="s">
        <v>168</v>
      </c>
      <c r="F329" s="19" t="s">
        <v>161</v>
      </c>
      <c r="G329" s="19" t="s">
        <v>265</v>
      </c>
      <c r="H329" s="19"/>
      <c r="I329" s="24" t="n">
        <f aca="false">IF(AND(ISNUMBER(B329),ISNUMBER(D329)),B329*D329,0)</f>
        <v>126</v>
      </c>
    </row>
    <row r="330" customFormat="false" ht="15" hidden="false" customHeight="false" outlineLevel="0" collapsed="false">
      <c r="A330" s="19" t="s">
        <v>452</v>
      </c>
      <c r="B330" s="22" t="n">
        <v>210</v>
      </c>
      <c r="C330" s="19" t="n">
        <v>17</v>
      </c>
      <c r="D330" s="23" t="n">
        <v>0.29</v>
      </c>
      <c r="E330" s="19" t="s">
        <v>168</v>
      </c>
      <c r="F330" s="19" t="s">
        <v>161</v>
      </c>
      <c r="G330" s="19" t="s">
        <v>265</v>
      </c>
      <c r="H330" s="19"/>
      <c r="I330" s="24" t="n">
        <f aca="false">IF(AND(ISNUMBER(B330),ISNUMBER(D330)),B330*D330,0)</f>
        <v>60.9</v>
      </c>
    </row>
    <row r="331" customFormat="false" ht="15" hidden="false" customHeight="false" outlineLevel="0" collapsed="false">
      <c r="A331" s="19" t="s">
        <v>453</v>
      </c>
      <c r="B331" s="22" t="n">
        <v>210</v>
      </c>
      <c r="C331" s="19" t="n">
        <v>27</v>
      </c>
      <c r="D331" s="23" t="n">
        <v>0.29</v>
      </c>
      <c r="E331" s="19" t="s">
        <v>168</v>
      </c>
      <c r="F331" s="19" t="s">
        <v>161</v>
      </c>
      <c r="G331" s="19" t="s">
        <v>265</v>
      </c>
      <c r="H331" s="19"/>
      <c r="I331" s="24" t="n">
        <f aca="false">IF(AND(ISNUMBER(B331),ISNUMBER(D331)),B331*D331,0)</f>
        <v>60.9</v>
      </c>
    </row>
    <row r="332" customFormat="false" ht="15" hidden="false" customHeight="false" outlineLevel="0" collapsed="false">
      <c r="A332" s="19" t="s">
        <v>454</v>
      </c>
      <c r="B332" s="22" t="n">
        <v>210</v>
      </c>
      <c r="C332" s="19" t="n">
        <v>3</v>
      </c>
      <c r="D332" s="23" t="n">
        <v>4.34</v>
      </c>
      <c r="E332" s="19" t="s">
        <v>185</v>
      </c>
      <c r="F332" s="19" t="s">
        <v>161</v>
      </c>
      <c r="G332" s="19" t="s">
        <v>265</v>
      </c>
      <c r="H332" s="19"/>
      <c r="I332" s="24" t="n">
        <f aca="false">IF(AND(ISNUMBER(B332),ISNUMBER(D332)),B332*D332,0)</f>
        <v>911.4</v>
      </c>
    </row>
    <row r="333" customFormat="false" ht="15" hidden="false" customHeight="false" outlineLevel="0" collapsed="false">
      <c r="A333" s="19" t="s">
        <v>455</v>
      </c>
      <c r="B333" s="22" t="n">
        <v>210</v>
      </c>
      <c r="C333" s="19" t="n">
        <v>17</v>
      </c>
      <c r="D333" s="23" t="n">
        <v>0</v>
      </c>
      <c r="E333" s="19" t="s">
        <v>157</v>
      </c>
      <c r="F333" s="19" t="s">
        <v>161</v>
      </c>
      <c r="G333" s="19" t="s">
        <v>265</v>
      </c>
      <c r="H333" s="19"/>
      <c r="I333" s="24" t="n">
        <f aca="false">IF(AND(ISNUMBER(B333),ISNUMBER(D333)),B333*D333,0)</f>
        <v>0</v>
      </c>
    </row>
    <row r="334" customFormat="false" ht="15" hidden="false" customHeight="false" outlineLevel="0" collapsed="false">
      <c r="A334" s="19" t="s">
        <v>456</v>
      </c>
      <c r="B334" s="22" t="n">
        <v>210</v>
      </c>
      <c r="C334" s="19" t="n">
        <v>22</v>
      </c>
      <c r="D334" s="23" t="n">
        <v>3.3</v>
      </c>
      <c r="E334" s="19" t="s">
        <v>145</v>
      </c>
      <c r="F334" s="19" t="s">
        <v>161</v>
      </c>
      <c r="G334" s="19" t="s">
        <v>265</v>
      </c>
      <c r="H334" s="19"/>
      <c r="I334" s="24" t="n">
        <f aca="false">IF(AND(ISNUMBER(B334),ISNUMBER(D334)),B334*D334,0)</f>
        <v>693</v>
      </c>
    </row>
    <row r="335" customFormat="false" ht="15" hidden="false" customHeight="false" outlineLevel="0" collapsed="false">
      <c r="A335" s="19" t="s">
        <v>457</v>
      </c>
      <c r="B335" s="22" t="n">
        <v>210</v>
      </c>
      <c r="C335" s="19" t="n">
        <v>28</v>
      </c>
      <c r="D335" s="23" t="n">
        <v>0</v>
      </c>
      <c r="E335" s="19" t="s">
        <v>145</v>
      </c>
      <c r="F335" s="19" t="s">
        <v>161</v>
      </c>
      <c r="G335" s="19" t="s">
        <v>265</v>
      </c>
      <c r="H335" s="19"/>
      <c r="I335" s="24" t="n">
        <f aca="false">IF(AND(ISNUMBER(B335),ISNUMBER(D335)),B335*D335,0)</f>
        <v>0</v>
      </c>
    </row>
    <row r="336" customFormat="false" ht="15" hidden="false" customHeight="false" outlineLevel="0" collapsed="false">
      <c r="A336" s="19" t="s">
        <v>458</v>
      </c>
      <c r="B336" s="22" t="n">
        <v>210</v>
      </c>
      <c r="C336" s="19" t="n">
        <v>26</v>
      </c>
      <c r="D336" s="23" t="n">
        <v>0.81</v>
      </c>
      <c r="E336" s="19" t="s">
        <v>135</v>
      </c>
      <c r="F336" s="19" t="s">
        <v>161</v>
      </c>
      <c r="G336" s="19" t="s">
        <v>265</v>
      </c>
      <c r="H336" s="19"/>
      <c r="I336" s="24" t="n">
        <f aca="false">IF(AND(ISNUMBER(B336),ISNUMBER(D336)),B336*D336,0)</f>
        <v>170.1</v>
      </c>
    </row>
    <row r="337" customFormat="false" ht="15" hidden="false" customHeight="false" outlineLevel="0" collapsed="false">
      <c r="A337" s="19" t="s">
        <v>459</v>
      </c>
      <c r="B337" s="22" t="n">
        <v>210</v>
      </c>
      <c r="C337" s="19" t="n">
        <v>24</v>
      </c>
      <c r="D337" s="23" t="n">
        <v>0.81</v>
      </c>
      <c r="E337" s="19" t="s">
        <v>135</v>
      </c>
      <c r="F337" s="19" t="s">
        <v>161</v>
      </c>
      <c r="G337" s="19" t="s">
        <v>265</v>
      </c>
      <c r="H337" s="19"/>
      <c r="I337" s="24" t="n">
        <f aca="false">IF(AND(ISNUMBER(B337),ISNUMBER(D337)),B337*D337,0)</f>
        <v>170.1</v>
      </c>
    </row>
    <row r="338" customFormat="false" ht="15" hidden="false" customHeight="false" outlineLevel="0" collapsed="false">
      <c r="A338" s="19" t="s">
        <v>460</v>
      </c>
      <c r="B338" s="22" t="n">
        <v>210</v>
      </c>
      <c r="C338" s="19" t="n">
        <v>18</v>
      </c>
      <c r="D338" s="23" t="n">
        <v>0.42</v>
      </c>
      <c r="E338" s="19" t="s">
        <v>135</v>
      </c>
      <c r="F338" s="19" t="s">
        <v>161</v>
      </c>
      <c r="G338" s="19" t="s">
        <v>265</v>
      </c>
      <c r="H338" s="19"/>
      <c r="I338" s="24" t="n">
        <f aca="false">IF(AND(ISNUMBER(B338),ISNUMBER(D338)),B338*D338,0)</f>
        <v>88.2</v>
      </c>
    </row>
    <row r="339" customFormat="false" ht="15" hidden="false" customHeight="false" outlineLevel="0" collapsed="false">
      <c r="A339" s="19" t="s">
        <v>461</v>
      </c>
      <c r="B339" s="22" t="n">
        <v>210</v>
      </c>
      <c r="C339" s="19" t="n">
        <v>23</v>
      </c>
      <c r="D339" s="23" t="n">
        <v>0.72</v>
      </c>
      <c r="E339" s="19" t="s">
        <v>135</v>
      </c>
      <c r="F339" s="19" t="s">
        <v>161</v>
      </c>
      <c r="G339" s="19" t="s">
        <v>265</v>
      </c>
      <c r="H339" s="19"/>
      <c r="I339" s="24" t="n">
        <f aca="false">IF(AND(ISNUMBER(B339),ISNUMBER(D339)),B339*D339,0)</f>
        <v>151.2</v>
      </c>
    </row>
    <row r="340" customFormat="false" ht="15" hidden="false" customHeight="false" outlineLevel="0" collapsed="false">
      <c r="A340" s="19" t="s">
        <v>462</v>
      </c>
      <c r="B340" s="22" t="n">
        <v>210</v>
      </c>
      <c r="C340" s="19" t="n">
        <v>12</v>
      </c>
      <c r="D340" s="23" t="n">
        <v>0.72</v>
      </c>
      <c r="E340" s="19" t="s">
        <v>145</v>
      </c>
      <c r="F340" s="19" t="s">
        <v>161</v>
      </c>
      <c r="G340" s="19" t="s">
        <v>265</v>
      </c>
      <c r="H340" s="19"/>
      <c r="I340" s="24" t="n">
        <f aca="false">IF(AND(ISNUMBER(B340),ISNUMBER(D340)),B340*D340,0)</f>
        <v>151.2</v>
      </c>
    </row>
    <row r="341" customFormat="false" ht="15" hidden="false" customHeight="false" outlineLevel="0" collapsed="false">
      <c r="A341" s="19" t="s">
        <v>463</v>
      </c>
      <c r="B341" s="22" t="n">
        <v>210</v>
      </c>
      <c r="C341" s="19" t="n">
        <v>20</v>
      </c>
      <c r="D341" s="23" t="n">
        <v>0.36</v>
      </c>
      <c r="E341" s="19" t="s">
        <v>135</v>
      </c>
      <c r="F341" s="19" t="s">
        <v>161</v>
      </c>
      <c r="G341" s="19" t="s">
        <v>265</v>
      </c>
      <c r="H341" s="19"/>
      <c r="I341" s="24" t="n">
        <f aca="false">IF(AND(ISNUMBER(B341),ISNUMBER(D341)),B341*D341,0)</f>
        <v>75.6</v>
      </c>
    </row>
    <row r="342" customFormat="false" ht="15" hidden="false" customHeight="false" outlineLevel="0" collapsed="false">
      <c r="A342" s="19" t="s">
        <v>464</v>
      </c>
      <c r="B342" s="22" t="n">
        <v>210</v>
      </c>
      <c r="C342" s="19" t="n">
        <v>19</v>
      </c>
      <c r="D342" s="23" t="n">
        <v>1.11</v>
      </c>
      <c r="E342" s="19" t="s">
        <v>145</v>
      </c>
      <c r="F342" s="19" t="s">
        <v>161</v>
      </c>
      <c r="G342" s="19" t="s">
        <v>265</v>
      </c>
      <c r="H342" s="19"/>
      <c r="I342" s="24" t="n">
        <f aca="false">IF(AND(ISNUMBER(B342),ISNUMBER(D342)),B342*D342,0)</f>
        <v>233.1</v>
      </c>
    </row>
    <row r="343" customFormat="false" ht="15" hidden="false" customHeight="false" outlineLevel="0" collapsed="false">
      <c r="A343" s="19" t="s">
        <v>465</v>
      </c>
      <c r="B343" s="22" t="n">
        <v>210</v>
      </c>
      <c r="C343" s="19" t="n">
        <v>24</v>
      </c>
      <c r="D343" s="23" t="n">
        <v>0</v>
      </c>
      <c r="E343" s="19" t="s">
        <v>145</v>
      </c>
      <c r="F343" s="19" t="s">
        <v>161</v>
      </c>
      <c r="G343" s="19" t="s">
        <v>265</v>
      </c>
      <c r="H343" s="19"/>
      <c r="I343" s="24" t="n">
        <f aca="false">IF(AND(ISNUMBER(B343),ISNUMBER(D343)),B343*D343,0)</f>
        <v>0</v>
      </c>
    </row>
    <row r="344" customFormat="false" ht="15" hidden="false" customHeight="false" outlineLevel="0" collapsed="false">
      <c r="A344" s="19" t="s">
        <v>466</v>
      </c>
      <c r="B344" s="22" t="n">
        <v>210</v>
      </c>
      <c r="C344" s="19" t="n">
        <v>17</v>
      </c>
      <c r="D344" s="23" t="n">
        <v>0.47</v>
      </c>
      <c r="E344" s="19" t="s">
        <v>145</v>
      </c>
      <c r="F344" s="19" t="s">
        <v>161</v>
      </c>
      <c r="G344" s="19" t="s">
        <v>265</v>
      </c>
      <c r="H344" s="19"/>
      <c r="I344" s="24" t="n">
        <f aca="false">IF(AND(ISNUMBER(B344),ISNUMBER(D344)),B344*D344,0)</f>
        <v>98.7</v>
      </c>
    </row>
    <row r="345" customFormat="false" ht="15" hidden="false" customHeight="false" outlineLevel="0" collapsed="false">
      <c r="A345" s="19" t="s">
        <v>467</v>
      </c>
      <c r="B345" s="22" t="n">
        <v>210</v>
      </c>
      <c r="C345" s="19" t="n">
        <v>17</v>
      </c>
      <c r="D345" s="23" t="n">
        <v>0.43</v>
      </c>
      <c r="E345" s="19" t="s">
        <v>135</v>
      </c>
      <c r="F345" s="19" t="s">
        <v>161</v>
      </c>
      <c r="G345" s="19" t="s">
        <v>265</v>
      </c>
      <c r="H345" s="19"/>
      <c r="I345" s="24" t="n">
        <f aca="false">IF(AND(ISNUMBER(B345),ISNUMBER(D345)),B345*D345,0)</f>
        <v>90.3</v>
      </c>
    </row>
    <row r="346" customFormat="false" ht="15" hidden="false" customHeight="false" outlineLevel="0" collapsed="false">
      <c r="A346" s="19" t="s">
        <v>468</v>
      </c>
      <c r="B346" s="22" t="n">
        <v>210</v>
      </c>
      <c r="C346" s="19" t="n">
        <v>25</v>
      </c>
      <c r="D346" s="23" t="n">
        <v>0.33</v>
      </c>
      <c r="E346" s="19" t="s">
        <v>175</v>
      </c>
      <c r="F346" s="19" t="s">
        <v>161</v>
      </c>
      <c r="G346" s="19" t="s">
        <v>265</v>
      </c>
      <c r="H346" s="19"/>
      <c r="I346" s="24" t="n">
        <f aca="false">IF(AND(ISNUMBER(B346),ISNUMBER(D346)),B346*D346,0)</f>
        <v>69.3</v>
      </c>
    </row>
    <row r="347" customFormat="false" ht="15" hidden="false" customHeight="false" outlineLevel="0" collapsed="false">
      <c r="A347" s="19" t="s">
        <v>469</v>
      </c>
      <c r="B347" s="22" t="n">
        <v>210</v>
      </c>
      <c r="C347" s="19" t="n">
        <v>20</v>
      </c>
      <c r="D347" s="23" t="n">
        <v>0.81</v>
      </c>
      <c r="E347" s="19" t="s">
        <v>135</v>
      </c>
      <c r="F347" s="19" t="s">
        <v>161</v>
      </c>
      <c r="G347" s="19" t="s">
        <v>265</v>
      </c>
      <c r="H347" s="19"/>
      <c r="I347" s="24" t="n">
        <f aca="false">IF(AND(ISNUMBER(B347),ISNUMBER(D347)),B347*D347,0)</f>
        <v>170.1</v>
      </c>
    </row>
    <row r="348" customFormat="false" ht="15" hidden="false" customHeight="false" outlineLevel="0" collapsed="false">
      <c r="A348" s="19" t="s">
        <v>470</v>
      </c>
      <c r="B348" s="22" t="n">
        <v>210</v>
      </c>
      <c r="C348" s="19" t="n">
        <v>29</v>
      </c>
      <c r="D348" s="23" t="n">
        <v>0.25</v>
      </c>
      <c r="E348" s="19" t="s">
        <v>135</v>
      </c>
      <c r="F348" s="19" t="s">
        <v>161</v>
      </c>
      <c r="G348" s="19" t="s">
        <v>265</v>
      </c>
      <c r="H348" s="19"/>
      <c r="I348" s="24" t="n">
        <f aca="false">IF(AND(ISNUMBER(B348),ISNUMBER(D348)),B348*D348,0)</f>
        <v>52.5</v>
      </c>
    </row>
    <row r="349" customFormat="false" ht="15" hidden="false" customHeight="false" outlineLevel="0" collapsed="false">
      <c r="A349" s="19" t="s">
        <v>471</v>
      </c>
      <c r="B349" s="22" t="n">
        <v>210</v>
      </c>
      <c r="C349" s="19" t="n">
        <v>14</v>
      </c>
      <c r="D349" s="23" t="n">
        <v>0.41</v>
      </c>
      <c r="E349" s="19" t="s">
        <v>145</v>
      </c>
      <c r="F349" s="19" t="s">
        <v>161</v>
      </c>
      <c r="G349" s="19" t="s">
        <v>265</v>
      </c>
      <c r="H349" s="19"/>
      <c r="I349" s="24" t="n">
        <f aca="false">IF(AND(ISNUMBER(B349),ISNUMBER(D349)),B349*D349,0)</f>
        <v>86.1</v>
      </c>
    </row>
    <row r="350" customFormat="false" ht="15" hidden="false" customHeight="false" outlineLevel="0" collapsed="false">
      <c r="A350" s="19" t="s">
        <v>472</v>
      </c>
      <c r="B350" s="22" t="n">
        <v>210</v>
      </c>
      <c r="C350" s="19" t="n">
        <v>25</v>
      </c>
      <c r="D350" s="23" t="n">
        <v>0.8</v>
      </c>
      <c r="E350" s="19" t="s">
        <v>145</v>
      </c>
      <c r="F350" s="19" t="s">
        <v>140</v>
      </c>
      <c r="G350" s="19" t="s">
        <v>265</v>
      </c>
      <c r="H350" s="19"/>
      <c r="I350" s="24" t="n">
        <f aca="false">IF(AND(ISNUMBER(B350),ISNUMBER(D350)),B350*D350,0)</f>
        <v>168</v>
      </c>
    </row>
    <row r="351" customFormat="false" ht="15" hidden="false" customHeight="false" outlineLevel="0" collapsed="false">
      <c r="A351" s="19" t="s">
        <v>473</v>
      </c>
      <c r="B351" s="22" t="n">
        <v>210</v>
      </c>
      <c r="C351" s="19" t="n">
        <v>25</v>
      </c>
      <c r="D351" s="23" t="n">
        <v>0</v>
      </c>
      <c r="E351" s="19" t="s">
        <v>209</v>
      </c>
      <c r="F351" s="19" t="s">
        <v>136</v>
      </c>
      <c r="G351" s="19" t="s">
        <v>265</v>
      </c>
      <c r="H351" s="19"/>
      <c r="I351" s="24" t="n">
        <f aca="false">IF(AND(ISNUMBER(B351),ISNUMBER(D351)),B351*D351,0)</f>
        <v>0</v>
      </c>
    </row>
    <row r="352" customFormat="false" ht="15" hidden="false" customHeight="false" outlineLevel="0" collapsed="false">
      <c r="A352" s="19" t="s">
        <v>474</v>
      </c>
      <c r="B352" s="22" t="n">
        <v>210</v>
      </c>
      <c r="C352" s="19" t="n">
        <v>20</v>
      </c>
      <c r="D352" s="23" t="n">
        <v>0</v>
      </c>
      <c r="E352" s="19" t="s">
        <v>135</v>
      </c>
      <c r="F352" s="19" t="s">
        <v>136</v>
      </c>
      <c r="G352" s="19" t="s">
        <v>265</v>
      </c>
      <c r="H352" s="19"/>
      <c r="I352" s="24" t="n">
        <f aca="false">IF(AND(ISNUMBER(B352),ISNUMBER(D352)),B352*D352,0)</f>
        <v>0</v>
      </c>
    </row>
    <row r="353" customFormat="false" ht="15" hidden="false" customHeight="false" outlineLevel="0" collapsed="false">
      <c r="A353" s="19" t="s">
        <v>475</v>
      </c>
      <c r="B353" s="22" t="n">
        <v>210</v>
      </c>
      <c r="C353" s="19" t="n">
        <v>10</v>
      </c>
      <c r="D353" s="23" t="n">
        <v>0</v>
      </c>
      <c r="E353" s="19" t="s">
        <v>145</v>
      </c>
      <c r="F353" s="19" t="s">
        <v>136</v>
      </c>
      <c r="G353" s="19" t="s">
        <v>265</v>
      </c>
      <c r="H353" s="19"/>
      <c r="I353" s="24" t="n">
        <f aca="false">IF(AND(ISNUMBER(B353),ISNUMBER(D353)),B353*D353,0)</f>
        <v>0</v>
      </c>
    </row>
    <row r="354" customFormat="false" ht="15" hidden="false" customHeight="false" outlineLevel="0" collapsed="false">
      <c r="A354" s="19" t="s">
        <v>476</v>
      </c>
      <c r="B354" s="22" t="n">
        <v>210</v>
      </c>
      <c r="C354" s="19" t="n">
        <v>27</v>
      </c>
      <c r="D354" s="23" t="n">
        <v>0</v>
      </c>
      <c r="E354" s="19" t="s">
        <v>220</v>
      </c>
      <c r="F354" s="19" t="s">
        <v>136</v>
      </c>
      <c r="G354" s="19" t="s">
        <v>265</v>
      </c>
      <c r="H354" s="19"/>
      <c r="I354" s="24" t="n">
        <f aca="false">IF(AND(ISNUMBER(B354),ISNUMBER(D354)),B354*D354,0)</f>
        <v>0</v>
      </c>
    </row>
    <row r="355" customFormat="false" ht="15" hidden="false" customHeight="false" outlineLevel="0" collapsed="false">
      <c r="A355" s="19" t="s">
        <v>477</v>
      </c>
      <c r="B355" s="22" t="n">
        <v>210</v>
      </c>
      <c r="C355" s="19" t="n">
        <v>27</v>
      </c>
      <c r="D355" s="23" t="n">
        <v>0</v>
      </c>
      <c r="E355" s="19" t="s">
        <v>145</v>
      </c>
      <c r="F355" s="19" t="s">
        <v>136</v>
      </c>
      <c r="G355" s="19" t="s">
        <v>265</v>
      </c>
      <c r="H355" s="19"/>
      <c r="I355" s="24" t="n">
        <f aca="false">IF(AND(ISNUMBER(B355),ISNUMBER(D355)),B355*D355,0)</f>
        <v>0</v>
      </c>
    </row>
    <row r="356" customFormat="false" ht="15" hidden="false" customHeight="false" outlineLevel="0" collapsed="false">
      <c r="A356" s="19" t="s">
        <v>478</v>
      </c>
      <c r="B356" s="22" t="n">
        <v>210</v>
      </c>
      <c r="C356" s="19" t="n">
        <v>16</v>
      </c>
      <c r="D356" s="23" t="n">
        <v>3.65</v>
      </c>
      <c r="E356" s="19" t="s">
        <v>135</v>
      </c>
      <c r="F356" s="19" t="s">
        <v>136</v>
      </c>
      <c r="G356" s="19" t="s">
        <v>265</v>
      </c>
      <c r="H356" s="19"/>
      <c r="I356" s="24" t="n">
        <f aca="false">IF(AND(ISNUMBER(B356),ISNUMBER(D356)),B356*D356,0)</f>
        <v>766.5</v>
      </c>
    </row>
    <row r="357" customFormat="false" ht="15" hidden="false" customHeight="false" outlineLevel="0" collapsed="false">
      <c r="A357" s="19" t="s">
        <v>479</v>
      </c>
      <c r="B357" s="22" t="n">
        <v>210</v>
      </c>
      <c r="C357" s="19" t="n">
        <v>28</v>
      </c>
      <c r="D357" s="23" t="n">
        <v>0</v>
      </c>
      <c r="E357" s="19" t="s">
        <v>135</v>
      </c>
      <c r="F357" s="19" t="s">
        <v>136</v>
      </c>
      <c r="G357" s="19" t="s">
        <v>265</v>
      </c>
      <c r="H357" s="19"/>
      <c r="I357" s="24" t="n">
        <f aca="false">IF(AND(ISNUMBER(B357),ISNUMBER(D357)),B357*D357,0)</f>
        <v>0</v>
      </c>
    </row>
    <row r="358" customFormat="false" ht="15" hidden="false" customHeight="false" outlineLevel="0" collapsed="false">
      <c r="A358" s="19" t="s">
        <v>480</v>
      </c>
      <c r="B358" s="22" t="n">
        <v>210</v>
      </c>
      <c r="C358" s="19" t="n">
        <v>29</v>
      </c>
      <c r="D358" s="23" t="n">
        <v>0.84</v>
      </c>
      <c r="E358" s="19" t="s">
        <v>145</v>
      </c>
      <c r="F358" s="19" t="s">
        <v>136</v>
      </c>
      <c r="G358" s="19" t="s">
        <v>265</v>
      </c>
      <c r="H358" s="19"/>
      <c r="I358" s="24" t="n">
        <f aca="false">IF(AND(ISNUMBER(B358),ISNUMBER(D358)),B358*D358,0)</f>
        <v>176.4</v>
      </c>
    </row>
    <row r="359" customFormat="false" ht="15" hidden="false" customHeight="false" outlineLevel="0" collapsed="false">
      <c r="A359" s="19" t="s">
        <v>481</v>
      </c>
      <c r="B359" s="22" t="n">
        <v>210</v>
      </c>
      <c r="C359" s="19" t="n">
        <v>29</v>
      </c>
      <c r="D359" s="23" t="n">
        <v>0</v>
      </c>
      <c r="E359" s="19" t="s">
        <v>175</v>
      </c>
      <c r="F359" s="19" t="s">
        <v>136</v>
      </c>
      <c r="G359" s="19" t="s">
        <v>265</v>
      </c>
      <c r="H359" s="19"/>
      <c r="I359" s="24" t="n">
        <f aca="false">IF(AND(ISNUMBER(B359),ISNUMBER(D359)),B359*D359,0)</f>
        <v>0</v>
      </c>
    </row>
    <row r="360" customFormat="false" ht="15" hidden="false" customHeight="false" outlineLevel="0" collapsed="false">
      <c r="A360" s="19" t="s">
        <v>482</v>
      </c>
      <c r="B360" s="22" t="n">
        <v>210</v>
      </c>
      <c r="C360" s="19" t="n">
        <v>27</v>
      </c>
      <c r="D360" s="23" t="n">
        <v>0</v>
      </c>
      <c r="E360" s="19" t="s">
        <v>135</v>
      </c>
      <c r="F360" s="19" t="s">
        <v>136</v>
      </c>
      <c r="G360" s="19" t="s">
        <v>265</v>
      </c>
      <c r="H360" s="19"/>
      <c r="I360" s="24" t="n">
        <f aca="false">IF(AND(ISNUMBER(B360),ISNUMBER(D360)),B360*D360,0)</f>
        <v>0</v>
      </c>
    </row>
    <row r="361" customFormat="false" ht="15" hidden="false" customHeight="false" outlineLevel="0" collapsed="false">
      <c r="A361" s="19" t="s">
        <v>483</v>
      </c>
      <c r="B361" s="22" t="n">
        <v>210</v>
      </c>
      <c r="C361" s="19" t="n">
        <v>19</v>
      </c>
      <c r="D361" s="23" t="n">
        <v>0.36</v>
      </c>
      <c r="E361" s="19" t="s">
        <v>145</v>
      </c>
      <c r="F361" s="19" t="s">
        <v>136</v>
      </c>
      <c r="G361" s="19" t="s">
        <v>265</v>
      </c>
      <c r="H361" s="19"/>
      <c r="I361" s="24" t="n">
        <f aca="false">IF(AND(ISNUMBER(B361),ISNUMBER(D361)),B361*D361,0)</f>
        <v>75.6</v>
      </c>
    </row>
    <row r="362" customFormat="false" ht="15" hidden="false" customHeight="false" outlineLevel="0" collapsed="false">
      <c r="A362" s="19" t="s">
        <v>484</v>
      </c>
      <c r="B362" s="22" t="n">
        <v>210</v>
      </c>
      <c r="C362" s="19" t="n">
        <v>21</v>
      </c>
      <c r="D362" s="23" t="n">
        <v>0</v>
      </c>
      <c r="E362" s="19" t="s">
        <v>145</v>
      </c>
      <c r="F362" s="19" t="s">
        <v>136</v>
      </c>
      <c r="G362" s="19" t="s">
        <v>265</v>
      </c>
      <c r="H362" s="19"/>
      <c r="I362" s="24" t="n">
        <f aca="false">IF(AND(ISNUMBER(B362),ISNUMBER(D362)),B362*D362,0)</f>
        <v>0</v>
      </c>
    </row>
    <row r="363" customFormat="false" ht="15" hidden="false" customHeight="false" outlineLevel="0" collapsed="false">
      <c r="A363" s="19" t="s">
        <v>485</v>
      </c>
      <c r="B363" s="22" t="n">
        <v>210</v>
      </c>
      <c r="C363" s="19" t="n">
        <v>4</v>
      </c>
      <c r="D363" s="23" t="n">
        <v>0.49</v>
      </c>
      <c r="E363" s="19" t="s">
        <v>175</v>
      </c>
      <c r="F363" s="19" t="s">
        <v>136</v>
      </c>
      <c r="G363" s="19" t="s">
        <v>265</v>
      </c>
      <c r="H363" s="19"/>
      <c r="I363" s="24" t="n">
        <f aca="false">IF(AND(ISNUMBER(B363),ISNUMBER(D363)),B363*D363,0)</f>
        <v>102.9</v>
      </c>
    </row>
    <row r="364" customFormat="false" ht="15" hidden="false" customHeight="false" outlineLevel="0" collapsed="false">
      <c r="A364" s="19" t="s">
        <v>486</v>
      </c>
      <c r="B364" s="22" t="n">
        <v>210</v>
      </c>
      <c r="C364" s="19" t="n">
        <v>27</v>
      </c>
      <c r="D364" s="23" t="n">
        <v>0.86</v>
      </c>
      <c r="E364" s="19" t="s">
        <v>145</v>
      </c>
      <c r="F364" s="19" t="s">
        <v>136</v>
      </c>
      <c r="G364" s="19" t="s">
        <v>265</v>
      </c>
      <c r="H364" s="19"/>
      <c r="I364" s="24" t="n">
        <f aca="false">IF(AND(ISNUMBER(B364),ISNUMBER(D364)),B364*D364,0)</f>
        <v>180.6</v>
      </c>
    </row>
    <row r="365" customFormat="false" ht="15" hidden="false" customHeight="false" outlineLevel="0" collapsed="false">
      <c r="A365" s="19" t="s">
        <v>487</v>
      </c>
      <c r="B365" s="22" t="n">
        <v>210</v>
      </c>
      <c r="C365" s="19" t="n">
        <v>13</v>
      </c>
      <c r="D365" s="23" t="n">
        <v>3.65</v>
      </c>
      <c r="E365" s="19" t="s">
        <v>135</v>
      </c>
      <c r="F365" s="19" t="s">
        <v>136</v>
      </c>
      <c r="G365" s="19" t="s">
        <v>265</v>
      </c>
      <c r="H365" s="19"/>
      <c r="I365" s="24" t="n">
        <f aca="false">IF(AND(ISNUMBER(B365),ISNUMBER(D365)),B365*D365,0)</f>
        <v>766.5</v>
      </c>
    </row>
    <row r="366" customFormat="false" ht="15" hidden="false" customHeight="false" outlineLevel="0" collapsed="false">
      <c r="A366" s="19" t="s">
        <v>488</v>
      </c>
      <c r="B366" s="22" t="n">
        <v>210</v>
      </c>
      <c r="C366" s="19" t="n">
        <v>23</v>
      </c>
      <c r="D366" s="23" t="n">
        <v>0</v>
      </c>
      <c r="E366" s="19" t="s">
        <v>145</v>
      </c>
      <c r="F366" s="19" t="s">
        <v>136</v>
      </c>
      <c r="G366" s="19" t="s">
        <v>265</v>
      </c>
      <c r="H366" s="19"/>
      <c r="I366" s="24" t="n">
        <f aca="false">IF(AND(ISNUMBER(B366),ISNUMBER(D366)),B366*D366,0)</f>
        <v>0</v>
      </c>
    </row>
    <row r="367" customFormat="false" ht="15" hidden="false" customHeight="false" outlineLevel="0" collapsed="false">
      <c r="A367" s="19" t="s">
        <v>489</v>
      </c>
      <c r="B367" s="22" t="n">
        <v>210</v>
      </c>
      <c r="C367" s="19" t="n">
        <v>17</v>
      </c>
      <c r="D367" s="23" t="n">
        <v>3.65</v>
      </c>
      <c r="E367" s="19" t="s">
        <v>135</v>
      </c>
      <c r="F367" s="19" t="s">
        <v>136</v>
      </c>
      <c r="G367" s="19" t="s">
        <v>265</v>
      </c>
      <c r="H367" s="19"/>
      <c r="I367" s="24" t="n">
        <f aca="false">IF(AND(ISNUMBER(B367),ISNUMBER(D367)),B367*D367,0)</f>
        <v>766.5</v>
      </c>
    </row>
    <row r="368" customFormat="false" ht="15" hidden="false" customHeight="false" outlineLevel="0" collapsed="false">
      <c r="A368" s="19" t="s">
        <v>490</v>
      </c>
      <c r="B368" s="22" t="n">
        <v>210</v>
      </c>
      <c r="C368" s="19" t="n">
        <v>15</v>
      </c>
      <c r="D368" s="23" t="n">
        <v>0.34</v>
      </c>
      <c r="E368" s="19" t="s">
        <v>175</v>
      </c>
      <c r="F368" s="19" t="s">
        <v>136</v>
      </c>
      <c r="G368" s="19" t="s">
        <v>265</v>
      </c>
      <c r="H368" s="19"/>
      <c r="I368" s="24" t="n">
        <f aca="false">IF(AND(ISNUMBER(B368),ISNUMBER(D368)),B368*D368,0)</f>
        <v>71.4</v>
      </c>
    </row>
    <row r="369" customFormat="false" ht="15" hidden="false" customHeight="false" outlineLevel="0" collapsed="false">
      <c r="A369" s="19" t="s">
        <v>491</v>
      </c>
      <c r="B369" s="22" t="n">
        <v>210</v>
      </c>
      <c r="C369" s="19" t="n">
        <v>18</v>
      </c>
      <c r="D369" s="23" t="n">
        <v>0.96</v>
      </c>
      <c r="E369" s="19" t="s">
        <v>175</v>
      </c>
      <c r="F369" s="19" t="s">
        <v>136</v>
      </c>
      <c r="G369" s="19" t="s">
        <v>265</v>
      </c>
      <c r="H369" s="19"/>
      <c r="I369" s="24" t="n">
        <f aca="false">IF(AND(ISNUMBER(B369),ISNUMBER(D369)),B369*D369,0)</f>
        <v>201.6</v>
      </c>
    </row>
    <row r="370" customFormat="false" ht="15" hidden="false" customHeight="false" outlineLevel="0" collapsed="false">
      <c r="A370" s="19" t="s">
        <v>492</v>
      </c>
      <c r="B370" s="22" t="n">
        <v>210</v>
      </c>
      <c r="C370" s="19" t="n">
        <v>10</v>
      </c>
      <c r="D370" s="23" t="n">
        <v>0.46</v>
      </c>
      <c r="E370" s="19" t="s">
        <v>145</v>
      </c>
      <c r="F370" s="19" t="s">
        <v>136</v>
      </c>
      <c r="G370" s="19" t="s">
        <v>265</v>
      </c>
      <c r="H370" s="19"/>
      <c r="I370" s="24" t="n">
        <f aca="false">IF(AND(ISNUMBER(B370),ISNUMBER(D370)),B370*D370,0)</f>
        <v>96.6</v>
      </c>
    </row>
    <row r="371" customFormat="false" ht="15" hidden="false" customHeight="false" outlineLevel="0" collapsed="false">
      <c r="A371" s="19" t="s">
        <v>493</v>
      </c>
      <c r="B371" s="22" t="n">
        <v>170</v>
      </c>
      <c r="C371" s="19" t="n">
        <v>18</v>
      </c>
      <c r="D371" s="23" t="n">
        <v>0.45</v>
      </c>
      <c r="E371" s="19" t="s">
        <v>290</v>
      </c>
      <c r="F371" s="19" t="s">
        <v>140</v>
      </c>
      <c r="G371" s="19" t="s">
        <v>265</v>
      </c>
      <c r="H371" s="19"/>
      <c r="I371" s="24" t="n">
        <f aca="false">IF(AND(ISNUMBER(B371),ISNUMBER(D371)),B371*D371,0)</f>
        <v>76.5</v>
      </c>
    </row>
    <row r="372" customFormat="false" ht="15" hidden="false" customHeight="false" outlineLevel="0" collapsed="false">
      <c r="A372" s="19" t="s">
        <v>494</v>
      </c>
      <c r="B372" s="22" t="n">
        <v>170</v>
      </c>
      <c r="C372" s="19" t="n">
        <v>25</v>
      </c>
      <c r="D372" s="23" t="n">
        <v>0</v>
      </c>
      <c r="E372" s="19" t="s">
        <v>284</v>
      </c>
      <c r="F372" s="19" t="s">
        <v>140</v>
      </c>
      <c r="G372" s="19" t="s">
        <v>265</v>
      </c>
      <c r="H372" s="19"/>
      <c r="I372" s="24" t="n">
        <f aca="false">IF(AND(ISNUMBER(B372),ISNUMBER(D372)),B372*D372,0)</f>
        <v>0</v>
      </c>
    </row>
    <row r="373" customFormat="false" ht="15" hidden="false" customHeight="false" outlineLevel="0" collapsed="false">
      <c r="A373" s="19" t="s">
        <v>495</v>
      </c>
      <c r="B373" s="22" t="n">
        <v>170</v>
      </c>
      <c r="C373" s="19" t="n">
        <v>24</v>
      </c>
      <c r="D373" s="23" t="n">
        <v>0</v>
      </c>
      <c r="E373" s="19" t="s">
        <v>284</v>
      </c>
      <c r="F373" s="19" t="s">
        <v>140</v>
      </c>
      <c r="G373" s="19" t="s">
        <v>265</v>
      </c>
      <c r="H373" s="19"/>
      <c r="I373" s="24" t="n">
        <f aca="false">IF(AND(ISNUMBER(B373),ISNUMBER(D373)),B373*D373,0)</f>
        <v>0</v>
      </c>
    </row>
    <row r="374" customFormat="false" ht="15" hidden="false" customHeight="false" outlineLevel="0" collapsed="false">
      <c r="A374" s="19" t="s">
        <v>496</v>
      </c>
      <c r="B374" s="22" t="n">
        <v>170</v>
      </c>
      <c r="C374" s="19" t="n">
        <v>8</v>
      </c>
      <c r="D374" s="23" t="n">
        <v>0.73</v>
      </c>
      <c r="E374" s="19" t="s">
        <v>185</v>
      </c>
      <c r="F374" s="19" t="s">
        <v>140</v>
      </c>
      <c r="G374" s="19" t="s">
        <v>265</v>
      </c>
      <c r="H374" s="19"/>
      <c r="I374" s="24" t="n">
        <f aca="false">IF(AND(ISNUMBER(B374),ISNUMBER(D374)),B374*D374,0)</f>
        <v>124.1</v>
      </c>
    </row>
    <row r="375" customFormat="false" ht="15" hidden="false" customHeight="false" outlineLevel="0" collapsed="false">
      <c r="A375" s="19" t="s">
        <v>497</v>
      </c>
      <c r="B375" s="22" t="n">
        <v>170</v>
      </c>
      <c r="C375" s="19" t="n">
        <v>21</v>
      </c>
      <c r="D375" s="23" t="n">
        <v>1.78</v>
      </c>
      <c r="E375" s="19" t="s">
        <v>135</v>
      </c>
      <c r="F375" s="19" t="s">
        <v>140</v>
      </c>
      <c r="G375" s="19" t="s">
        <v>265</v>
      </c>
      <c r="H375" s="19"/>
      <c r="I375" s="24" t="n">
        <f aca="false">IF(AND(ISNUMBER(B375),ISNUMBER(D375)),B375*D375,0)</f>
        <v>302.6</v>
      </c>
    </row>
    <row r="376" customFormat="false" ht="15" hidden="false" customHeight="false" outlineLevel="0" collapsed="false">
      <c r="A376" s="19" t="s">
        <v>498</v>
      </c>
      <c r="B376" s="22" t="n">
        <v>170</v>
      </c>
      <c r="C376" s="19" t="n">
        <v>23</v>
      </c>
      <c r="D376" s="23" t="n">
        <v>0.96</v>
      </c>
      <c r="E376" s="19" t="s">
        <v>145</v>
      </c>
      <c r="F376" s="19" t="s">
        <v>140</v>
      </c>
      <c r="G376" s="19" t="s">
        <v>265</v>
      </c>
      <c r="H376" s="19"/>
      <c r="I376" s="24" t="n">
        <f aca="false">IF(AND(ISNUMBER(B376),ISNUMBER(D376)),B376*D376,0)</f>
        <v>163.2</v>
      </c>
    </row>
    <row r="377" customFormat="false" ht="15" hidden="false" customHeight="false" outlineLevel="0" collapsed="false">
      <c r="A377" s="19" t="s">
        <v>499</v>
      </c>
      <c r="B377" s="22" t="n">
        <v>170</v>
      </c>
      <c r="C377" s="19" t="n">
        <v>15</v>
      </c>
      <c r="D377" s="23" t="n">
        <v>0.98</v>
      </c>
      <c r="E377" s="19" t="s">
        <v>145</v>
      </c>
      <c r="F377" s="19" t="s">
        <v>140</v>
      </c>
      <c r="G377" s="19" t="s">
        <v>265</v>
      </c>
      <c r="H377" s="19"/>
      <c r="I377" s="24" t="n">
        <f aca="false">IF(AND(ISNUMBER(B377),ISNUMBER(D377)),B377*D377,0)</f>
        <v>166.6</v>
      </c>
    </row>
    <row r="378" customFormat="false" ht="15" hidden="false" customHeight="false" outlineLevel="0" collapsed="false">
      <c r="A378" s="19" t="s">
        <v>500</v>
      </c>
      <c r="B378" s="22" t="n">
        <v>170</v>
      </c>
      <c r="C378" s="19" t="n">
        <v>7</v>
      </c>
      <c r="D378" s="23" t="n">
        <v>1.02</v>
      </c>
      <c r="E378" s="19" t="s">
        <v>135</v>
      </c>
      <c r="F378" s="19" t="s">
        <v>140</v>
      </c>
      <c r="G378" s="19" t="s">
        <v>265</v>
      </c>
      <c r="H378" s="19"/>
      <c r="I378" s="24" t="n">
        <f aca="false">IF(AND(ISNUMBER(B378),ISNUMBER(D378)),B378*D378,0)</f>
        <v>173.4</v>
      </c>
    </row>
    <row r="379" customFormat="false" ht="15" hidden="false" customHeight="false" outlineLevel="0" collapsed="false">
      <c r="A379" s="19" t="s">
        <v>501</v>
      </c>
      <c r="B379" s="22" t="n">
        <v>170</v>
      </c>
      <c r="C379" s="19" t="n">
        <v>21</v>
      </c>
      <c r="D379" s="23" t="n">
        <v>1.78</v>
      </c>
      <c r="E379" s="19" t="s">
        <v>145</v>
      </c>
      <c r="F379" s="19" t="s">
        <v>140</v>
      </c>
      <c r="G379" s="19" t="s">
        <v>265</v>
      </c>
      <c r="H379" s="19"/>
      <c r="I379" s="24" t="n">
        <f aca="false">IF(AND(ISNUMBER(B379),ISNUMBER(D379)),B379*D379,0)</f>
        <v>302.6</v>
      </c>
    </row>
    <row r="380" customFormat="false" ht="15" hidden="false" customHeight="false" outlineLevel="0" collapsed="false">
      <c r="A380" s="19" t="s">
        <v>502</v>
      </c>
      <c r="B380" s="22" t="n">
        <v>170</v>
      </c>
      <c r="C380" s="19" t="n">
        <v>9</v>
      </c>
      <c r="D380" s="23" t="n">
        <v>1.02</v>
      </c>
      <c r="E380" s="19" t="s">
        <v>135</v>
      </c>
      <c r="F380" s="19" t="s">
        <v>140</v>
      </c>
      <c r="G380" s="19" t="s">
        <v>265</v>
      </c>
      <c r="H380" s="19"/>
      <c r="I380" s="24" t="n">
        <f aca="false">IF(AND(ISNUMBER(B380),ISNUMBER(D380)),B380*D380,0)</f>
        <v>173.4</v>
      </c>
    </row>
    <row r="381" customFormat="false" ht="15" hidden="false" customHeight="false" outlineLevel="0" collapsed="false">
      <c r="A381" s="19" t="s">
        <v>503</v>
      </c>
      <c r="B381" s="22" t="n">
        <v>170</v>
      </c>
      <c r="C381" s="19" t="n">
        <v>13</v>
      </c>
      <c r="D381" s="23" t="n">
        <v>0.19</v>
      </c>
      <c r="E381" s="19" t="s">
        <v>168</v>
      </c>
      <c r="F381" s="19" t="s">
        <v>161</v>
      </c>
      <c r="G381" s="19" t="s">
        <v>265</v>
      </c>
      <c r="H381" s="19"/>
      <c r="I381" s="24" t="n">
        <f aca="false">IF(AND(ISNUMBER(B381),ISNUMBER(D381)),B381*D381,0)</f>
        <v>32.3</v>
      </c>
    </row>
    <row r="382" customFormat="false" ht="15" hidden="false" customHeight="false" outlineLevel="0" collapsed="false">
      <c r="A382" s="19" t="s">
        <v>504</v>
      </c>
      <c r="B382" s="22" t="n">
        <v>170</v>
      </c>
      <c r="C382" s="19" t="n">
        <v>27</v>
      </c>
      <c r="D382" s="23" t="n">
        <v>0</v>
      </c>
      <c r="E382" s="19" t="s">
        <v>168</v>
      </c>
      <c r="F382" s="19" t="s">
        <v>161</v>
      </c>
      <c r="G382" s="19" t="s">
        <v>265</v>
      </c>
      <c r="H382" s="19"/>
      <c r="I382" s="24" t="n">
        <f aca="false">IF(AND(ISNUMBER(B382),ISNUMBER(D382)),B382*D382,0)</f>
        <v>0</v>
      </c>
    </row>
    <row r="383" customFormat="false" ht="15" hidden="false" customHeight="false" outlineLevel="0" collapsed="false">
      <c r="A383" s="19" t="s">
        <v>505</v>
      </c>
      <c r="B383" s="22" t="n">
        <v>170</v>
      </c>
      <c r="C383" s="19" t="n">
        <v>24</v>
      </c>
      <c r="D383" s="23" t="n">
        <v>0.4</v>
      </c>
      <c r="E383" s="19" t="s">
        <v>168</v>
      </c>
      <c r="F383" s="19" t="s">
        <v>161</v>
      </c>
      <c r="G383" s="19" t="s">
        <v>265</v>
      </c>
      <c r="H383" s="19"/>
      <c r="I383" s="24" t="n">
        <f aca="false">IF(AND(ISNUMBER(B383),ISNUMBER(D383)),B383*D383,0)</f>
        <v>68</v>
      </c>
    </row>
    <row r="384" customFormat="false" ht="15" hidden="false" customHeight="false" outlineLevel="0" collapsed="false">
      <c r="A384" s="19" t="s">
        <v>506</v>
      </c>
      <c r="B384" s="22" t="n">
        <v>170</v>
      </c>
      <c r="C384" s="19" t="n">
        <v>20</v>
      </c>
      <c r="D384" s="23" t="n">
        <v>0.74</v>
      </c>
      <c r="E384" s="19" t="s">
        <v>185</v>
      </c>
      <c r="F384" s="19" t="s">
        <v>161</v>
      </c>
      <c r="G384" s="19" t="s">
        <v>265</v>
      </c>
      <c r="H384" s="19"/>
      <c r="I384" s="24" t="n">
        <f aca="false">IF(AND(ISNUMBER(B384),ISNUMBER(D384)),B384*D384,0)</f>
        <v>125.8</v>
      </c>
    </row>
    <row r="385" customFormat="false" ht="15" hidden="false" customHeight="false" outlineLevel="0" collapsed="false">
      <c r="A385" s="19" t="s">
        <v>507</v>
      </c>
      <c r="B385" s="22" t="n">
        <v>170</v>
      </c>
      <c r="C385" s="19" t="n">
        <v>25</v>
      </c>
      <c r="D385" s="23" t="n">
        <v>0.36</v>
      </c>
      <c r="E385" s="19" t="s">
        <v>185</v>
      </c>
      <c r="F385" s="19" t="s">
        <v>161</v>
      </c>
      <c r="G385" s="19" t="s">
        <v>265</v>
      </c>
      <c r="H385" s="19"/>
      <c r="I385" s="24" t="n">
        <f aca="false">IF(AND(ISNUMBER(B385),ISNUMBER(D385)),B385*D385,0)</f>
        <v>61.2</v>
      </c>
    </row>
    <row r="386" customFormat="false" ht="15" hidden="false" customHeight="false" outlineLevel="0" collapsed="false">
      <c r="A386" s="19" t="s">
        <v>508</v>
      </c>
      <c r="B386" s="22" t="n">
        <v>170</v>
      </c>
      <c r="C386" s="19" t="n">
        <v>13</v>
      </c>
      <c r="D386" s="23" t="n">
        <v>0.37</v>
      </c>
      <c r="E386" s="19" t="s">
        <v>290</v>
      </c>
      <c r="F386" s="19" t="s">
        <v>161</v>
      </c>
      <c r="G386" s="19" t="s">
        <v>265</v>
      </c>
      <c r="H386" s="19"/>
      <c r="I386" s="24" t="n">
        <f aca="false">IF(AND(ISNUMBER(B386),ISNUMBER(D386)),B386*D386,0)</f>
        <v>62.9</v>
      </c>
    </row>
    <row r="387" customFormat="false" ht="15" hidden="false" customHeight="false" outlineLevel="0" collapsed="false">
      <c r="A387" s="19" t="s">
        <v>509</v>
      </c>
      <c r="B387" s="22" t="n">
        <v>170</v>
      </c>
      <c r="C387" s="19" t="n">
        <v>22</v>
      </c>
      <c r="D387" s="23" t="n">
        <v>0.36</v>
      </c>
      <c r="E387" s="19" t="s">
        <v>284</v>
      </c>
      <c r="F387" s="19" t="s">
        <v>161</v>
      </c>
      <c r="G387" s="19" t="s">
        <v>265</v>
      </c>
      <c r="H387" s="19"/>
      <c r="I387" s="24" t="n">
        <f aca="false">IF(AND(ISNUMBER(B387),ISNUMBER(D387)),B387*D387,0)</f>
        <v>61.2</v>
      </c>
    </row>
    <row r="388" customFormat="false" ht="15" hidden="false" customHeight="false" outlineLevel="0" collapsed="false">
      <c r="A388" s="19" t="s">
        <v>510</v>
      </c>
      <c r="B388" s="22" t="n">
        <v>170</v>
      </c>
      <c r="C388" s="19" t="n">
        <v>24</v>
      </c>
      <c r="D388" s="23" t="n">
        <v>0</v>
      </c>
      <c r="E388" s="19" t="s">
        <v>168</v>
      </c>
      <c r="F388" s="19" t="s">
        <v>161</v>
      </c>
      <c r="G388" s="19" t="s">
        <v>265</v>
      </c>
      <c r="H388" s="19"/>
      <c r="I388" s="24" t="n">
        <f aca="false">IF(AND(ISNUMBER(B388),ISNUMBER(D388)),B388*D388,0)</f>
        <v>0</v>
      </c>
    </row>
    <row r="389" customFormat="false" ht="15" hidden="false" customHeight="false" outlineLevel="0" collapsed="false">
      <c r="A389" s="19" t="s">
        <v>511</v>
      </c>
      <c r="B389" s="22" t="n">
        <v>170</v>
      </c>
      <c r="C389" s="19" t="n">
        <v>15</v>
      </c>
      <c r="D389" s="23" t="n">
        <v>2.17</v>
      </c>
      <c r="E389" s="19" t="s">
        <v>185</v>
      </c>
      <c r="F389" s="19" t="s">
        <v>161</v>
      </c>
      <c r="G389" s="19" t="s">
        <v>265</v>
      </c>
      <c r="H389" s="19"/>
      <c r="I389" s="24" t="n">
        <f aca="false">IF(AND(ISNUMBER(B389),ISNUMBER(D389)),B389*D389,0)</f>
        <v>368.9</v>
      </c>
    </row>
    <row r="390" customFormat="false" ht="15" hidden="false" customHeight="false" outlineLevel="0" collapsed="false">
      <c r="A390" s="19" t="s">
        <v>512</v>
      </c>
      <c r="B390" s="22" t="n">
        <v>170</v>
      </c>
      <c r="C390" s="19" t="n">
        <v>27</v>
      </c>
      <c r="D390" s="23" t="n">
        <v>0.38</v>
      </c>
      <c r="E390" s="19" t="s">
        <v>168</v>
      </c>
      <c r="F390" s="19" t="s">
        <v>161</v>
      </c>
      <c r="G390" s="19" t="s">
        <v>265</v>
      </c>
      <c r="H390" s="19"/>
      <c r="I390" s="24" t="n">
        <f aca="false">IF(AND(ISNUMBER(B390),ISNUMBER(D390)),B390*D390,0)</f>
        <v>64.6</v>
      </c>
    </row>
    <row r="391" customFormat="false" ht="15" hidden="false" customHeight="false" outlineLevel="0" collapsed="false">
      <c r="A391" s="19" t="s">
        <v>513</v>
      </c>
      <c r="B391" s="22" t="n">
        <v>170</v>
      </c>
      <c r="C391" s="19" t="n">
        <v>27</v>
      </c>
      <c r="D391" s="23" t="n">
        <v>0.51</v>
      </c>
      <c r="E391" s="19" t="s">
        <v>185</v>
      </c>
      <c r="F391" s="19" t="s">
        <v>161</v>
      </c>
      <c r="G391" s="19" t="s">
        <v>265</v>
      </c>
      <c r="H391" s="19"/>
      <c r="I391" s="24" t="n">
        <f aca="false">IF(AND(ISNUMBER(B391),ISNUMBER(D391)),B391*D391,0)</f>
        <v>86.7</v>
      </c>
    </row>
    <row r="392" customFormat="false" ht="15" hidden="false" customHeight="false" outlineLevel="0" collapsed="false">
      <c r="A392" s="19" t="s">
        <v>514</v>
      </c>
      <c r="B392" s="22" t="n">
        <v>170</v>
      </c>
      <c r="C392" s="19" t="n">
        <v>23</v>
      </c>
      <c r="D392" s="23" t="n">
        <v>0.27</v>
      </c>
      <c r="E392" s="19" t="s">
        <v>135</v>
      </c>
      <c r="F392" s="19" t="s">
        <v>161</v>
      </c>
      <c r="G392" s="19" t="s">
        <v>265</v>
      </c>
      <c r="H392" s="19"/>
      <c r="I392" s="24" t="n">
        <f aca="false">IF(AND(ISNUMBER(B392),ISNUMBER(D392)),B392*D392,0)</f>
        <v>45.9</v>
      </c>
    </row>
    <row r="393" customFormat="false" ht="15" hidden="false" customHeight="false" outlineLevel="0" collapsed="false">
      <c r="A393" s="19" t="s">
        <v>515</v>
      </c>
      <c r="B393" s="22" t="n">
        <v>170</v>
      </c>
      <c r="C393" s="19" t="n">
        <v>27</v>
      </c>
      <c r="D393" s="23" t="n">
        <v>0.69</v>
      </c>
      <c r="E393" s="19" t="s">
        <v>157</v>
      </c>
      <c r="F393" s="19" t="s">
        <v>161</v>
      </c>
      <c r="G393" s="19" t="s">
        <v>265</v>
      </c>
      <c r="H393" s="19"/>
      <c r="I393" s="24" t="n">
        <f aca="false">IF(AND(ISNUMBER(B393),ISNUMBER(D393)),B393*D393,0)</f>
        <v>117.3</v>
      </c>
    </row>
    <row r="394" customFormat="false" ht="15" hidden="false" customHeight="false" outlineLevel="0" collapsed="false">
      <c r="A394" s="19" t="s">
        <v>516</v>
      </c>
      <c r="B394" s="22" t="n">
        <v>170</v>
      </c>
      <c r="C394" s="19" t="n">
        <v>20</v>
      </c>
      <c r="D394" s="23" t="n">
        <v>0.52</v>
      </c>
      <c r="E394" s="19" t="s">
        <v>135</v>
      </c>
      <c r="F394" s="19" t="s">
        <v>161</v>
      </c>
      <c r="G394" s="19" t="s">
        <v>265</v>
      </c>
      <c r="H394" s="19"/>
      <c r="I394" s="24" t="n">
        <f aca="false">IF(AND(ISNUMBER(B394),ISNUMBER(D394)),B394*D394,0)</f>
        <v>88.4</v>
      </c>
    </row>
    <row r="395" customFormat="false" ht="15" hidden="false" customHeight="false" outlineLevel="0" collapsed="false">
      <c r="A395" s="19" t="s">
        <v>517</v>
      </c>
      <c r="B395" s="22" t="n">
        <v>170</v>
      </c>
      <c r="C395" s="19" t="n">
        <v>23</v>
      </c>
      <c r="D395" s="23" t="n">
        <v>0</v>
      </c>
      <c r="E395" s="19" t="s">
        <v>135</v>
      </c>
      <c r="F395" s="19" t="s">
        <v>161</v>
      </c>
      <c r="G395" s="19" t="s">
        <v>265</v>
      </c>
      <c r="H395" s="19"/>
      <c r="I395" s="24" t="n">
        <f aca="false">IF(AND(ISNUMBER(B395),ISNUMBER(D395)),B395*D395,0)</f>
        <v>0</v>
      </c>
    </row>
    <row r="396" customFormat="false" ht="15" hidden="false" customHeight="false" outlineLevel="0" collapsed="false">
      <c r="A396" s="19" t="s">
        <v>518</v>
      </c>
      <c r="B396" s="22" t="n">
        <v>170</v>
      </c>
      <c r="C396" s="19" t="n">
        <v>23</v>
      </c>
      <c r="D396" s="23" t="n">
        <v>2.84</v>
      </c>
      <c r="E396" s="19" t="s">
        <v>135</v>
      </c>
      <c r="F396" s="19" t="s">
        <v>161</v>
      </c>
      <c r="G396" s="19" t="s">
        <v>265</v>
      </c>
      <c r="H396" s="19"/>
      <c r="I396" s="24" t="n">
        <f aca="false">IF(AND(ISNUMBER(B396),ISNUMBER(D396)),B396*D396,0)</f>
        <v>482.8</v>
      </c>
    </row>
    <row r="397" customFormat="false" ht="15" hidden="false" customHeight="false" outlineLevel="0" collapsed="false">
      <c r="A397" s="19" t="s">
        <v>519</v>
      </c>
      <c r="B397" s="22" t="n">
        <v>170</v>
      </c>
      <c r="C397" s="19" t="n">
        <v>21</v>
      </c>
      <c r="D397" s="23" t="n">
        <v>0.35</v>
      </c>
      <c r="E397" s="19" t="s">
        <v>135</v>
      </c>
      <c r="F397" s="19" t="s">
        <v>161</v>
      </c>
      <c r="G397" s="19" t="s">
        <v>265</v>
      </c>
      <c r="H397" s="19"/>
      <c r="I397" s="24" t="n">
        <f aca="false">IF(AND(ISNUMBER(B397),ISNUMBER(D397)),B397*D397,0)</f>
        <v>59.5</v>
      </c>
    </row>
    <row r="398" customFormat="false" ht="15" hidden="false" customHeight="false" outlineLevel="0" collapsed="false">
      <c r="A398" s="19" t="s">
        <v>520</v>
      </c>
      <c r="B398" s="22" t="n">
        <v>170</v>
      </c>
      <c r="C398" s="19" t="n">
        <v>18</v>
      </c>
      <c r="D398" s="23" t="n">
        <v>2.84</v>
      </c>
      <c r="E398" s="19" t="s">
        <v>157</v>
      </c>
      <c r="F398" s="19" t="s">
        <v>161</v>
      </c>
      <c r="G398" s="19" t="s">
        <v>265</v>
      </c>
      <c r="H398" s="19"/>
      <c r="I398" s="24" t="n">
        <f aca="false">IF(AND(ISNUMBER(B398),ISNUMBER(D398)),B398*D398,0)</f>
        <v>482.8</v>
      </c>
    </row>
    <row r="399" customFormat="false" ht="15" hidden="false" customHeight="false" outlineLevel="0" collapsed="false">
      <c r="A399" s="19" t="s">
        <v>521</v>
      </c>
      <c r="B399" s="22" t="n">
        <v>170</v>
      </c>
      <c r="C399" s="19" t="n">
        <v>20</v>
      </c>
      <c r="D399" s="23" t="n">
        <v>1.6</v>
      </c>
      <c r="E399" s="19" t="s">
        <v>145</v>
      </c>
      <c r="F399" s="19" t="s">
        <v>161</v>
      </c>
      <c r="G399" s="19" t="s">
        <v>265</v>
      </c>
      <c r="H399" s="19"/>
      <c r="I399" s="24" t="n">
        <f aca="false">IF(AND(ISNUMBER(B399),ISNUMBER(D399)),B399*D399,0)</f>
        <v>272</v>
      </c>
    </row>
    <row r="400" customFormat="false" ht="15" hidden="false" customHeight="false" outlineLevel="0" collapsed="false">
      <c r="A400" s="19" t="s">
        <v>522</v>
      </c>
      <c r="B400" s="22" t="n">
        <v>170</v>
      </c>
      <c r="C400" s="19" t="n">
        <v>21</v>
      </c>
      <c r="D400" s="23" t="n">
        <v>2.31</v>
      </c>
      <c r="E400" s="19" t="s">
        <v>135</v>
      </c>
      <c r="F400" s="19" t="s">
        <v>161</v>
      </c>
      <c r="G400" s="19" t="s">
        <v>265</v>
      </c>
      <c r="H400" s="19"/>
      <c r="I400" s="24" t="n">
        <f aca="false">IF(AND(ISNUMBER(B400),ISNUMBER(D400)),B400*D400,0)</f>
        <v>392.7</v>
      </c>
    </row>
    <row r="401" customFormat="false" ht="15" hidden="false" customHeight="false" outlineLevel="0" collapsed="false">
      <c r="A401" s="19" t="s">
        <v>523</v>
      </c>
      <c r="B401" s="22" t="n">
        <v>170</v>
      </c>
      <c r="C401" s="19" t="n">
        <v>18</v>
      </c>
      <c r="D401" s="23" t="n">
        <v>0.36</v>
      </c>
      <c r="E401" s="19" t="s">
        <v>135</v>
      </c>
      <c r="F401" s="19" t="s">
        <v>161</v>
      </c>
      <c r="G401" s="19" t="s">
        <v>265</v>
      </c>
      <c r="H401" s="19"/>
      <c r="I401" s="24" t="n">
        <f aca="false">IF(AND(ISNUMBER(B401),ISNUMBER(D401)),B401*D401,0)</f>
        <v>61.2</v>
      </c>
    </row>
    <row r="402" customFormat="false" ht="15" hidden="false" customHeight="false" outlineLevel="0" collapsed="false">
      <c r="A402" s="19" t="s">
        <v>524</v>
      </c>
      <c r="B402" s="22" t="n">
        <v>170</v>
      </c>
      <c r="C402" s="19" t="n">
        <v>25</v>
      </c>
      <c r="D402" s="23" t="n">
        <v>0.56</v>
      </c>
      <c r="E402" s="19" t="s">
        <v>135</v>
      </c>
      <c r="F402" s="19" t="s">
        <v>161</v>
      </c>
      <c r="G402" s="19" t="s">
        <v>265</v>
      </c>
      <c r="H402" s="19"/>
      <c r="I402" s="24" t="n">
        <f aca="false">IF(AND(ISNUMBER(B402),ISNUMBER(D402)),B402*D402,0)</f>
        <v>95.2</v>
      </c>
    </row>
    <row r="403" customFormat="false" ht="15" hidden="false" customHeight="false" outlineLevel="0" collapsed="false">
      <c r="A403" s="19" t="s">
        <v>525</v>
      </c>
      <c r="B403" s="22" t="n">
        <v>170</v>
      </c>
      <c r="C403" s="19" t="n">
        <v>22</v>
      </c>
      <c r="D403" s="23" t="n">
        <v>1.35</v>
      </c>
      <c r="E403" s="19" t="s">
        <v>135</v>
      </c>
      <c r="F403" s="19" t="s">
        <v>161</v>
      </c>
      <c r="G403" s="19" t="s">
        <v>265</v>
      </c>
      <c r="H403" s="19"/>
      <c r="I403" s="24" t="n">
        <f aca="false">IF(AND(ISNUMBER(B403),ISNUMBER(D403)),B403*D403,0)</f>
        <v>229.5</v>
      </c>
    </row>
    <row r="404" customFormat="false" ht="15" hidden="false" customHeight="false" outlineLevel="0" collapsed="false">
      <c r="A404" s="19" t="s">
        <v>526</v>
      </c>
      <c r="B404" s="22" t="n">
        <v>170</v>
      </c>
      <c r="C404" s="19" t="n">
        <v>23</v>
      </c>
      <c r="D404" s="23" t="n">
        <v>0.55</v>
      </c>
      <c r="E404" s="19" t="s">
        <v>135</v>
      </c>
      <c r="F404" s="19" t="s">
        <v>161</v>
      </c>
      <c r="G404" s="19" t="s">
        <v>265</v>
      </c>
      <c r="H404" s="19"/>
      <c r="I404" s="24" t="n">
        <f aca="false">IF(AND(ISNUMBER(B404),ISNUMBER(D404)),B404*D404,0)</f>
        <v>93.5</v>
      </c>
    </row>
    <row r="405" customFormat="false" ht="15" hidden="false" customHeight="false" outlineLevel="0" collapsed="false">
      <c r="A405" s="19" t="s">
        <v>527</v>
      </c>
      <c r="B405" s="22" t="n">
        <v>170</v>
      </c>
      <c r="C405" s="19" t="n">
        <v>27</v>
      </c>
      <c r="D405" s="23" t="n">
        <v>0.36</v>
      </c>
      <c r="E405" s="19" t="s">
        <v>135</v>
      </c>
      <c r="F405" s="19" t="s">
        <v>161</v>
      </c>
      <c r="G405" s="19" t="s">
        <v>265</v>
      </c>
      <c r="H405" s="19"/>
      <c r="I405" s="24" t="n">
        <f aca="false">IF(AND(ISNUMBER(B405),ISNUMBER(D405)),B405*D405,0)</f>
        <v>61.2</v>
      </c>
    </row>
    <row r="406" customFormat="false" ht="15" hidden="false" customHeight="false" outlineLevel="0" collapsed="false">
      <c r="A406" s="19" t="s">
        <v>528</v>
      </c>
      <c r="B406" s="22" t="n">
        <v>170</v>
      </c>
      <c r="C406" s="19" t="n">
        <v>28</v>
      </c>
      <c r="D406" s="23" t="n">
        <v>2.31</v>
      </c>
      <c r="E406" s="19" t="s">
        <v>135</v>
      </c>
      <c r="F406" s="19" t="s">
        <v>161</v>
      </c>
      <c r="G406" s="19" t="s">
        <v>265</v>
      </c>
      <c r="H406" s="19"/>
      <c r="I406" s="24" t="n">
        <f aca="false">IF(AND(ISNUMBER(B406),ISNUMBER(D406)),B406*D406,0)</f>
        <v>392.7</v>
      </c>
    </row>
    <row r="407" customFormat="false" ht="15" hidden="false" customHeight="false" outlineLevel="0" collapsed="false">
      <c r="A407" s="19" t="s">
        <v>529</v>
      </c>
      <c r="B407" s="22" t="n">
        <v>170</v>
      </c>
      <c r="C407" s="19" t="n">
        <v>27</v>
      </c>
      <c r="D407" s="23" t="n">
        <v>2.31</v>
      </c>
      <c r="E407" s="19" t="s">
        <v>135</v>
      </c>
      <c r="F407" s="19" t="s">
        <v>161</v>
      </c>
      <c r="G407" s="19" t="s">
        <v>265</v>
      </c>
      <c r="H407" s="19"/>
      <c r="I407" s="24" t="n">
        <f aca="false">IF(AND(ISNUMBER(B407),ISNUMBER(D407)),B407*D407,0)</f>
        <v>392.7</v>
      </c>
    </row>
    <row r="408" customFormat="false" ht="15" hidden="false" customHeight="false" outlineLevel="0" collapsed="false">
      <c r="A408" s="19" t="s">
        <v>530</v>
      </c>
      <c r="B408" s="22" t="n">
        <v>170</v>
      </c>
      <c r="C408" s="19" t="n">
        <v>29</v>
      </c>
      <c r="D408" s="23" t="n">
        <v>0.4</v>
      </c>
      <c r="E408" s="19" t="s">
        <v>135</v>
      </c>
      <c r="F408" s="19" t="s">
        <v>161</v>
      </c>
      <c r="G408" s="19" t="s">
        <v>265</v>
      </c>
      <c r="H408" s="19"/>
      <c r="I408" s="24" t="n">
        <f aca="false">IF(AND(ISNUMBER(B408),ISNUMBER(D408)),B408*D408,0)</f>
        <v>68</v>
      </c>
    </row>
    <row r="409" customFormat="false" ht="15" hidden="false" customHeight="false" outlineLevel="0" collapsed="false">
      <c r="A409" s="19" t="s">
        <v>531</v>
      </c>
      <c r="B409" s="22" t="n">
        <v>170</v>
      </c>
      <c r="C409" s="19" t="n">
        <v>22</v>
      </c>
      <c r="D409" s="23" t="n">
        <v>0</v>
      </c>
      <c r="E409" s="19" t="s">
        <v>220</v>
      </c>
      <c r="F409" s="19" t="s">
        <v>161</v>
      </c>
      <c r="G409" s="19" t="s">
        <v>265</v>
      </c>
      <c r="H409" s="19"/>
      <c r="I409" s="24" t="n">
        <f aca="false">IF(AND(ISNUMBER(B409),ISNUMBER(D409)),B409*D409,0)</f>
        <v>0</v>
      </c>
    </row>
    <row r="410" customFormat="false" ht="15" hidden="false" customHeight="false" outlineLevel="0" collapsed="false">
      <c r="A410" s="19" t="s">
        <v>532</v>
      </c>
      <c r="B410" s="22" t="n">
        <v>170</v>
      </c>
      <c r="C410" s="19" t="n">
        <v>22</v>
      </c>
      <c r="D410" s="23" t="n">
        <v>0.38</v>
      </c>
      <c r="E410" s="19" t="s">
        <v>145</v>
      </c>
      <c r="F410" s="19" t="s">
        <v>140</v>
      </c>
      <c r="G410" s="19" t="s">
        <v>265</v>
      </c>
      <c r="H410" s="19"/>
      <c r="I410" s="24" t="n">
        <f aca="false">IF(AND(ISNUMBER(B410),ISNUMBER(D410)),B410*D410,0)</f>
        <v>64.6</v>
      </c>
    </row>
    <row r="411" customFormat="false" ht="15" hidden="false" customHeight="false" outlineLevel="0" collapsed="false">
      <c r="A411" s="19" t="s">
        <v>533</v>
      </c>
      <c r="B411" s="22" t="n">
        <v>170</v>
      </c>
      <c r="C411" s="19" t="n">
        <v>24</v>
      </c>
      <c r="D411" s="23" t="n">
        <v>0</v>
      </c>
      <c r="E411" s="19" t="s">
        <v>135</v>
      </c>
      <c r="F411" s="19" t="s">
        <v>140</v>
      </c>
      <c r="G411" s="19" t="s">
        <v>265</v>
      </c>
      <c r="H411" s="19"/>
      <c r="I411" s="24" t="n">
        <f aca="false">IF(AND(ISNUMBER(B411),ISNUMBER(D411)),B411*D411,0)</f>
        <v>0</v>
      </c>
    </row>
    <row r="412" customFormat="false" ht="15" hidden="false" customHeight="false" outlineLevel="0" collapsed="false">
      <c r="A412" s="19" t="s">
        <v>534</v>
      </c>
      <c r="B412" s="22" t="n">
        <v>170</v>
      </c>
      <c r="C412" s="19" t="n">
        <v>28</v>
      </c>
      <c r="D412" s="23" t="n">
        <v>0</v>
      </c>
      <c r="E412" s="19" t="s">
        <v>166</v>
      </c>
      <c r="F412" s="19" t="s">
        <v>136</v>
      </c>
      <c r="G412" s="19" t="s">
        <v>265</v>
      </c>
      <c r="H412" s="19"/>
      <c r="I412" s="24" t="n">
        <f aca="false">IF(AND(ISNUMBER(B412),ISNUMBER(D412)),B412*D412,0)</f>
        <v>0</v>
      </c>
    </row>
    <row r="413" customFormat="false" ht="15" hidden="false" customHeight="false" outlineLevel="0" collapsed="false">
      <c r="A413" s="19" t="s">
        <v>535</v>
      </c>
      <c r="B413" s="22" t="n">
        <v>170</v>
      </c>
      <c r="C413" s="19" t="n">
        <v>20</v>
      </c>
      <c r="D413" s="23" t="n">
        <v>0.87</v>
      </c>
      <c r="E413" s="19" t="s">
        <v>157</v>
      </c>
      <c r="F413" s="19" t="s">
        <v>136</v>
      </c>
      <c r="G413" s="19" t="s">
        <v>265</v>
      </c>
      <c r="H413" s="19"/>
      <c r="I413" s="24" t="n">
        <f aca="false">IF(AND(ISNUMBER(B413),ISNUMBER(D413)),B413*D413,0)</f>
        <v>147.9</v>
      </c>
    </row>
    <row r="414" customFormat="false" ht="15" hidden="false" customHeight="false" outlineLevel="0" collapsed="false">
      <c r="A414" s="19" t="s">
        <v>536</v>
      </c>
      <c r="B414" s="22" t="n">
        <v>170</v>
      </c>
      <c r="C414" s="19" t="n">
        <v>26</v>
      </c>
      <c r="D414" s="23" t="n">
        <v>0</v>
      </c>
      <c r="E414" s="19" t="s">
        <v>145</v>
      </c>
      <c r="F414" s="19" t="s">
        <v>136</v>
      </c>
      <c r="G414" s="19" t="s">
        <v>265</v>
      </c>
      <c r="H414" s="19"/>
      <c r="I414" s="24" t="n">
        <f aca="false">IF(AND(ISNUMBER(B414),ISNUMBER(D414)),B414*D414,0)</f>
        <v>0</v>
      </c>
    </row>
    <row r="415" customFormat="false" ht="15" hidden="false" customHeight="false" outlineLevel="0" collapsed="false">
      <c r="A415" s="19" t="s">
        <v>537</v>
      </c>
      <c r="B415" s="22" t="n">
        <v>170</v>
      </c>
      <c r="C415" s="19" t="n">
        <v>15</v>
      </c>
      <c r="D415" s="23" t="n">
        <v>0</v>
      </c>
      <c r="E415" s="19" t="s">
        <v>145</v>
      </c>
      <c r="F415" s="19" t="s">
        <v>136</v>
      </c>
      <c r="G415" s="19" t="s">
        <v>265</v>
      </c>
      <c r="H415" s="19"/>
      <c r="I415" s="24" t="n">
        <f aca="false">IF(AND(ISNUMBER(B415),ISNUMBER(D415)),B415*D415,0)</f>
        <v>0</v>
      </c>
    </row>
    <row r="416" customFormat="false" ht="15" hidden="false" customHeight="false" outlineLevel="0" collapsed="false">
      <c r="A416" s="19" t="s">
        <v>538</v>
      </c>
      <c r="B416" s="22" t="n">
        <v>170</v>
      </c>
      <c r="C416" s="19" t="n">
        <v>26</v>
      </c>
      <c r="D416" s="23" t="n">
        <v>0</v>
      </c>
      <c r="E416" s="19" t="s">
        <v>145</v>
      </c>
      <c r="F416" s="19" t="s">
        <v>136</v>
      </c>
      <c r="G416" s="19" t="s">
        <v>265</v>
      </c>
      <c r="H416" s="19"/>
      <c r="I416" s="24" t="n">
        <f aca="false">IF(AND(ISNUMBER(B416),ISNUMBER(D416)),B416*D416,0)</f>
        <v>0</v>
      </c>
    </row>
    <row r="417" customFormat="false" ht="15" hidden="false" customHeight="false" outlineLevel="0" collapsed="false">
      <c r="A417" s="19" t="s">
        <v>539</v>
      </c>
      <c r="B417" s="22" t="n">
        <v>170</v>
      </c>
      <c r="C417" s="19" t="n">
        <v>26</v>
      </c>
      <c r="D417" s="23" t="n">
        <v>0</v>
      </c>
      <c r="E417" s="19" t="s">
        <v>135</v>
      </c>
      <c r="F417" s="19" t="s">
        <v>136</v>
      </c>
      <c r="G417" s="19" t="s">
        <v>265</v>
      </c>
      <c r="H417" s="19"/>
      <c r="I417" s="24" t="n">
        <f aca="false">IF(AND(ISNUMBER(B417),ISNUMBER(D417)),B417*D417,0)</f>
        <v>0</v>
      </c>
    </row>
    <row r="418" customFormat="false" ht="15" hidden="false" customHeight="false" outlineLevel="0" collapsed="false">
      <c r="A418" s="19" t="s">
        <v>540</v>
      </c>
      <c r="B418" s="22" t="n">
        <v>170</v>
      </c>
      <c r="C418" s="19" t="n">
        <v>16</v>
      </c>
      <c r="D418" s="23" t="n">
        <v>0</v>
      </c>
      <c r="E418" s="19" t="s">
        <v>145</v>
      </c>
      <c r="F418" s="19" t="s">
        <v>136</v>
      </c>
      <c r="G418" s="19" t="s">
        <v>265</v>
      </c>
      <c r="H418" s="19"/>
      <c r="I418" s="24" t="n">
        <f aca="false">IF(AND(ISNUMBER(B418),ISNUMBER(D418)),B418*D418,0)</f>
        <v>0</v>
      </c>
    </row>
    <row r="419" customFormat="false" ht="15" hidden="false" customHeight="false" outlineLevel="0" collapsed="false">
      <c r="A419" s="19" t="s">
        <v>541</v>
      </c>
      <c r="B419" s="22" t="n">
        <v>170</v>
      </c>
      <c r="C419" s="19" t="n">
        <v>22</v>
      </c>
      <c r="D419" s="23" t="n">
        <v>0.55</v>
      </c>
      <c r="E419" s="19" t="s">
        <v>175</v>
      </c>
      <c r="F419" s="19" t="s">
        <v>136</v>
      </c>
      <c r="G419" s="19" t="s">
        <v>265</v>
      </c>
      <c r="H419" s="19"/>
      <c r="I419" s="24" t="n">
        <f aca="false">IF(AND(ISNUMBER(B419),ISNUMBER(D419)),B419*D419,0)</f>
        <v>93.5</v>
      </c>
    </row>
    <row r="420" customFormat="false" ht="15" hidden="false" customHeight="false" outlineLevel="0" collapsed="false">
      <c r="A420" s="19" t="s">
        <v>542</v>
      </c>
      <c r="B420" s="22" t="n">
        <v>170</v>
      </c>
      <c r="C420" s="19" t="n">
        <v>23</v>
      </c>
      <c r="D420" s="23" t="n">
        <v>0</v>
      </c>
      <c r="E420" s="19" t="s">
        <v>145</v>
      </c>
      <c r="F420" s="19" t="s">
        <v>136</v>
      </c>
      <c r="G420" s="19" t="s">
        <v>265</v>
      </c>
      <c r="H420" s="19"/>
      <c r="I420" s="24" t="n">
        <f aca="false">IF(AND(ISNUMBER(B420),ISNUMBER(D420)),B420*D420,0)</f>
        <v>0</v>
      </c>
    </row>
    <row r="421" customFormat="false" ht="15" hidden="false" customHeight="false" outlineLevel="0" collapsed="false">
      <c r="A421" s="19" t="s">
        <v>543</v>
      </c>
      <c r="B421" s="22" t="n">
        <v>170</v>
      </c>
      <c r="C421" s="19" t="n">
        <v>27</v>
      </c>
      <c r="D421" s="23" t="n">
        <v>0</v>
      </c>
      <c r="E421" s="19" t="s">
        <v>145</v>
      </c>
      <c r="F421" s="19" t="s">
        <v>136</v>
      </c>
      <c r="G421" s="19" t="s">
        <v>265</v>
      </c>
      <c r="H421" s="19"/>
      <c r="I421" s="24" t="n">
        <f aca="false">IF(AND(ISNUMBER(B421),ISNUMBER(D421)),B421*D421,0)</f>
        <v>0</v>
      </c>
    </row>
    <row r="422" customFormat="false" ht="15" hidden="false" customHeight="false" outlineLevel="0" collapsed="false">
      <c r="A422" s="19" t="s">
        <v>544</v>
      </c>
      <c r="B422" s="22" t="n">
        <v>170</v>
      </c>
      <c r="C422" s="19" t="n">
        <v>12</v>
      </c>
      <c r="D422" s="23" t="n">
        <v>0.46</v>
      </c>
      <c r="E422" s="19" t="s">
        <v>135</v>
      </c>
      <c r="F422" s="19" t="s">
        <v>136</v>
      </c>
      <c r="G422" s="19" t="s">
        <v>265</v>
      </c>
      <c r="H422" s="19"/>
      <c r="I422" s="24" t="n">
        <f aca="false">IF(AND(ISNUMBER(B422),ISNUMBER(D422)),B422*D422,0)</f>
        <v>78.2</v>
      </c>
    </row>
    <row r="423" customFormat="false" ht="15" hidden="false" customHeight="false" outlineLevel="0" collapsed="false">
      <c r="A423" s="19" t="s">
        <v>545</v>
      </c>
      <c r="B423" s="22" t="n">
        <v>170</v>
      </c>
      <c r="C423" s="19" t="n">
        <v>19</v>
      </c>
      <c r="D423" s="23" t="n">
        <v>0.12</v>
      </c>
      <c r="E423" s="19" t="s">
        <v>145</v>
      </c>
      <c r="F423" s="19" t="s">
        <v>136</v>
      </c>
      <c r="G423" s="19" t="s">
        <v>265</v>
      </c>
      <c r="H423" s="19"/>
      <c r="I423" s="24" t="n">
        <f aca="false">IF(AND(ISNUMBER(B423),ISNUMBER(D423)),B423*D423,0)</f>
        <v>20.4</v>
      </c>
    </row>
    <row r="424" customFormat="false" ht="15" hidden="false" customHeight="false" outlineLevel="0" collapsed="false">
      <c r="A424" s="19" t="s">
        <v>546</v>
      </c>
      <c r="B424" s="22" t="n">
        <v>170</v>
      </c>
      <c r="C424" s="19" t="n">
        <v>21</v>
      </c>
      <c r="D424" s="23" t="n">
        <v>0.57</v>
      </c>
      <c r="E424" s="19" t="s">
        <v>145</v>
      </c>
      <c r="F424" s="19" t="s">
        <v>136</v>
      </c>
      <c r="G424" s="19" t="s">
        <v>265</v>
      </c>
      <c r="H424" s="19"/>
      <c r="I424" s="24" t="n">
        <f aca="false">IF(AND(ISNUMBER(B424),ISNUMBER(D424)),B424*D424,0)</f>
        <v>96.9</v>
      </c>
    </row>
    <row r="425" customFormat="false" ht="15" hidden="false" customHeight="false" outlineLevel="0" collapsed="false">
      <c r="A425" s="19" t="s">
        <v>547</v>
      </c>
      <c r="B425" s="22" t="n">
        <v>170</v>
      </c>
      <c r="C425" s="19" t="n">
        <v>28</v>
      </c>
      <c r="D425" s="23" t="n">
        <v>0</v>
      </c>
      <c r="E425" s="19" t="s">
        <v>145</v>
      </c>
      <c r="F425" s="19" t="s">
        <v>136</v>
      </c>
      <c r="G425" s="19" t="s">
        <v>265</v>
      </c>
      <c r="H425" s="19"/>
      <c r="I425" s="24" t="n">
        <f aca="false">IF(AND(ISNUMBER(B425),ISNUMBER(D425)),B425*D425,0)</f>
        <v>0</v>
      </c>
    </row>
    <row r="426" customFormat="false" ht="15" hidden="false" customHeight="false" outlineLevel="0" collapsed="false">
      <c r="A426" s="19" t="s">
        <v>548</v>
      </c>
      <c r="B426" s="22" t="n">
        <v>170</v>
      </c>
      <c r="C426" s="19" t="n">
        <v>23</v>
      </c>
      <c r="D426" s="23" t="n">
        <v>0</v>
      </c>
      <c r="E426" s="19" t="s">
        <v>145</v>
      </c>
      <c r="F426" s="19" t="s">
        <v>136</v>
      </c>
      <c r="G426" s="19" t="s">
        <v>265</v>
      </c>
      <c r="H426" s="19"/>
      <c r="I426" s="24" t="n">
        <f aca="false">IF(AND(ISNUMBER(B426),ISNUMBER(D426)),B426*D426,0)</f>
        <v>0</v>
      </c>
    </row>
    <row r="427" customFormat="false" ht="15" hidden="false" customHeight="false" outlineLevel="0" collapsed="false">
      <c r="A427" s="19" t="s">
        <v>549</v>
      </c>
      <c r="B427" s="22" t="n">
        <v>170</v>
      </c>
      <c r="C427" s="19" t="n">
        <v>29</v>
      </c>
      <c r="D427" s="23" t="n">
        <v>0.27</v>
      </c>
      <c r="E427" s="19" t="s">
        <v>157</v>
      </c>
      <c r="F427" s="19" t="s">
        <v>136</v>
      </c>
      <c r="G427" s="19" t="s">
        <v>265</v>
      </c>
      <c r="H427" s="19"/>
      <c r="I427" s="24" t="n">
        <f aca="false">IF(AND(ISNUMBER(B427),ISNUMBER(D427)),B427*D427,0)</f>
        <v>45.9</v>
      </c>
    </row>
    <row r="428" customFormat="false" ht="15" hidden="false" customHeight="false" outlineLevel="0" collapsed="false">
      <c r="A428" s="19" t="s">
        <v>550</v>
      </c>
      <c r="B428" s="22" t="n">
        <v>170</v>
      </c>
      <c r="C428" s="19" t="n">
        <v>21</v>
      </c>
      <c r="D428" s="23" t="n">
        <v>1.41</v>
      </c>
      <c r="E428" s="19" t="s">
        <v>157</v>
      </c>
      <c r="F428" s="19" t="s">
        <v>136</v>
      </c>
      <c r="G428" s="19" t="s">
        <v>265</v>
      </c>
      <c r="H428" s="19"/>
      <c r="I428" s="24" t="n">
        <f aca="false">IF(AND(ISNUMBER(B428),ISNUMBER(D428)),B428*D428,0)</f>
        <v>239.7</v>
      </c>
    </row>
    <row r="429" customFormat="false" ht="15" hidden="false" customHeight="false" outlineLevel="0" collapsed="false">
      <c r="A429" s="19" t="s">
        <v>551</v>
      </c>
      <c r="B429" s="22" t="n">
        <v>170</v>
      </c>
      <c r="C429" s="19" t="n">
        <v>19</v>
      </c>
      <c r="D429" s="23" t="n">
        <v>0.75</v>
      </c>
      <c r="E429" s="19"/>
      <c r="F429" s="19" t="s">
        <v>136</v>
      </c>
      <c r="G429" s="19" t="s">
        <v>265</v>
      </c>
      <c r="H429" s="19"/>
      <c r="I429" s="24" t="n">
        <f aca="false">IF(AND(ISNUMBER(B429),ISNUMBER(D429)),B429*D429,0)</f>
        <v>127.5</v>
      </c>
    </row>
    <row r="430" customFormat="false" ht="15" hidden="false" customHeight="false" outlineLevel="0" collapsed="false">
      <c r="A430" s="19" t="s">
        <v>552</v>
      </c>
      <c r="B430" s="22" t="n">
        <v>170</v>
      </c>
      <c r="C430" s="19" t="n">
        <v>23</v>
      </c>
      <c r="D430" s="23" t="n">
        <v>0</v>
      </c>
      <c r="E430" s="19" t="s">
        <v>135</v>
      </c>
      <c r="F430" s="19" t="s">
        <v>136</v>
      </c>
      <c r="G430" s="19" t="s">
        <v>265</v>
      </c>
      <c r="H430" s="19"/>
      <c r="I430" s="24" t="n">
        <f aca="false">IF(AND(ISNUMBER(B430),ISNUMBER(D430)),B430*D430,0)</f>
        <v>0</v>
      </c>
    </row>
    <row r="431" customFormat="false" ht="15" hidden="false" customHeight="false" outlineLevel="0" collapsed="false">
      <c r="A431" s="19" t="s">
        <v>553</v>
      </c>
      <c r="B431" s="22" t="n">
        <v>170</v>
      </c>
      <c r="C431" s="19" t="n">
        <v>23</v>
      </c>
      <c r="D431" s="23" t="n">
        <v>6.98</v>
      </c>
      <c r="E431" s="19" t="s">
        <v>145</v>
      </c>
      <c r="F431" s="19" t="s">
        <v>136</v>
      </c>
      <c r="G431" s="19" t="s">
        <v>265</v>
      </c>
      <c r="H431" s="19"/>
      <c r="I431" s="24" t="n">
        <f aca="false">IF(AND(ISNUMBER(B431),ISNUMBER(D431)),B431*D431,0)</f>
        <v>1186.6</v>
      </c>
    </row>
    <row r="432" customFormat="false" ht="15" hidden="false" customHeight="false" outlineLevel="0" collapsed="false">
      <c r="A432" s="19" t="s">
        <v>554</v>
      </c>
      <c r="B432" s="22" t="n">
        <v>170</v>
      </c>
      <c r="C432" s="19" t="n">
        <v>9</v>
      </c>
      <c r="D432" s="23" t="n">
        <v>6.98</v>
      </c>
      <c r="E432" s="19" t="s">
        <v>157</v>
      </c>
      <c r="F432" s="19" t="s">
        <v>136</v>
      </c>
      <c r="G432" s="19" t="s">
        <v>265</v>
      </c>
      <c r="H432" s="19"/>
      <c r="I432" s="24" t="n">
        <f aca="false">IF(AND(ISNUMBER(B432),ISNUMBER(D432)),B432*D432,0)</f>
        <v>1186.6</v>
      </c>
    </row>
    <row r="433" customFormat="false" ht="15" hidden="false" customHeight="false" outlineLevel="0" collapsed="false">
      <c r="A433" s="19" t="s">
        <v>555</v>
      </c>
      <c r="B433" s="22" t="n">
        <v>170</v>
      </c>
      <c r="C433" s="19" t="n">
        <v>26</v>
      </c>
      <c r="D433" s="23" t="n">
        <v>0.24</v>
      </c>
      <c r="E433" s="19" t="s">
        <v>145</v>
      </c>
      <c r="F433" s="19" t="s">
        <v>136</v>
      </c>
      <c r="G433" s="19" t="s">
        <v>265</v>
      </c>
      <c r="H433" s="19"/>
      <c r="I433" s="24" t="n">
        <f aca="false">IF(AND(ISNUMBER(B433),ISNUMBER(D433)),B433*D433,0)</f>
        <v>40.8</v>
      </c>
    </row>
    <row r="434" customFormat="false" ht="15" hidden="false" customHeight="false" outlineLevel="0" collapsed="false">
      <c r="A434" s="19" t="s">
        <v>556</v>
      </c>
      <c r="B434" s="22" t="n">
        <v>170</v>
      </c>
      <c r="C434" s="19" t="n">
        <v>22</v>
      </c>
      <c r="D434" s="23" t="n">
        <v>0</v>
      </c>
      <c r="E434" s="19" t="s">
        <v>145</v>
      </c>
      <c r="F434" s="19" t="s">
        <v>136</v>
      </c>
      <c r="G434" s="19" t="s">
        <v>265</v>
      </c>
      <c r="H434" s="19"/>
      <c r="I434" s="24" t="n">
        <f aca="false">IF(AND(ISNUMBER(B434),ISNUMBER(D434)),B434*D434,0)</f>
        <v>0</v>
      </c>
    </row>
    <row r="435" customFormat="false" ht="15" hidden="false" customHeight="false" outlineLevel="0" collapsed="false">
      <c r="A435" s="19" t="s">
        <v>557</v>
      </c>
      <c r="B435" s="22" t="n">
        <v>170</v>
      </c>
      <c r="C435" s="19" t="n">
        <v>15</v>
      </c>
      <c r="D435" s="23" t="n">
        <v>9.65</v>
      </c>
      <c r="E435" s="19" t="s">
        <v>135</v>
      </c>
      <c r="F435" s="19" t="s">
        <v>136</v>
      </c>
      <c r="G435" s="19" t="s">
        <v>265</v>
      </c>
      <c r="H435" s="19"/>
      <c r="I435" s="24" t="n">
        <f aca="false">IF(AND(ISNUMBER(B435),ISNUMBER(D435)),B435*D435,0)</f>
        <v>1640.5</v>
      </c>
    </row>
    <row r="436" customFormat="false" ht="15" hidden="false" customHeight="false" outlineLevel="0" collapsed="false">
      <c r="A436" s="19" t="s">
        <v>558</v>
      </c>
      <c r="B436" s="22" t="n">
        <v>170</v>
      </c>
      <c r="C436" s="19" t="n">
        <v>25</v>
      </c>
      <c r="D436" s="23" t="n">
        <v>9.65</v>
      </c>
      <c r="E436" s="19" t="s">
        <v>135</v>
      </c>
      <c r="F436" s="19" t="s">
        <v>136</v>
      </c>
      <c r="G436" s="19" t="s">
        <v>265</v>
      </c>
      <c r="H436" s="19"/>
      <c r="I436" s="24" t="n">
        <f aca="false">IF(AND(ISNUMBER(B436),ISNUMBER(D436)),B436*D436,0)</f>
        <v>1640.5</v>
      </c>
    </row>
    <row r="437" customFormat="false" ht="15" hidden="false" customHeight="false" outlineLevel="0" collapsed="false">
      <c r="A437" s="19" t="s">
        <v>559</v>
      </c>
      <c r="B437" s="22" t="n">
        <v>170</v>
      </c>
      <c r="C437" s="19" t="n">
        <v>28</v>
      </c>
      <c r="D437" s="23" t="n">
        <v>0.3</v>
      </c>
      <c r="E437" s="19" t="s">
        <v>145</v>
      </c>
      <c r="F437" s="19" t="s">
        <v>136</v>
      </c>
      <c r="G437" s="19" t="s">
        <v>265</v>
      </c>
      <c r="H437" s="19"/>
      <c r="I437" s="24" t="n">
        <f aca="false">IF(AND(ISNUMBER(B437),ISNUMBER(D437)),B437*D437,0)</f>
        <v>51</v>
      </c>
    </row>
    <row r="438" customFormat="false" ht="15" hidden="false" customHeight="false" outlineLevel="0" collapsed="false">
      <c r="A438" s="19" t="s">
        <v>560</v>
      </c>
      <c r="B438" s="22" t="n">
        <v>140</v>
      </c>
      <c r="C438" s="19" t="n">
        <v>18</v>
      </c>
      <c r="D438" s="23" t="n">
        <v>0.67</v>
      </c>
      <c r="E438" s="19" t="s">
        <v>185</v>
      </c>
      <c r="F438" s="19" t="s">
        <v>140</v>
      </c>
      <c r="G438" s="19" t="s">
        <v>265</v>
      </c>
      <c r="H438" s="19"/>
      <c r="I438" s="24" t="n">
        <f aca="false">IF(AND(ISNUMBER(B438),ISNUMBER(D438)),B438*D438,0)</f>
        <v>93.8</v>
      </c>
    </row>
    <row r="439" customFormat="false" ht="15" hidden="false" customHeight="false" outlineLevel="0" collapsed="false">
      <c r="A439" s="19" t="s">
        <v>561</v>
      </c>
      <c r="B439" s="22" t="n">
        <v>140</v>
      </c>
      <c r="C439" s="19" t="n">
        <v>12</v>
      </c>
      <c r="D439" s="23" t="n">
        <v>0</v>
      </c>
      <c r="E439" s="19" t="s">
        <v>185</v>
      </c>
      <c r="F439" s="19" t="s">
        <v>140</v>
      </c>
      <c r="G439" s="19" t="s">
        <v>265</v>
      </c>
      <c r="H439" s="19"/>
      <c r="I439" s="24" t="n">
        <f aca="false">IF(AND(ISNUMBER(B439),ISNUMBER(D439)),B439*D439,0)</f>
        <v>0</v>
      </c>
    </row>
    <row r="440" customFormat="false" ht="15" hidden="false" customHeight="false" outlineLevel="0" collapsed="false">
      <c r="A440" s="19" t="s">
        <v>562</v>
      </c>
      <c r="B440" s="22" t="n">
        <v>140</v>
      </c>
      <c r="C440" s="19" t="n">
        <v>18</v>
      </c>
      <c r="D440" s="23" t="n">
        <v>0.7</v>
      </c>
      <c r="E440" s="19" t="s">
        <v>168</v>
      </c>
      <c r="F440" s="19" t="s">
        <v>140</v>
      </c>
      <c r="G440" s="19" t="s">
        <v>265</v>
      </c>
      <c r="H440" s="19"/>
      <c r="I440" s="24" t="n">
        <f aca="false">IF(AND(ISNUMBER(B440),ISNUMBER(D440)),B440*D440,0)</f>
        <v>98</v>
      </c>
    </row>
    <row r="441" customFormat="false" ht="15" hidden="false" customHeight="false" outlineLevel="0" collapsed="false">
      <c r="A441" s="19" t="s">
        <v>563</v>
      </c>
      <c r="B441" s="22" t="n">
        <v>140</v>
      </c>
      <c r="C441" s="19" t="n">
        <v>23</v>
      </c>
      <c r="D441" s="23" t="n">
        <v>1.81</v>
      </c>
      <c r="E441" s="19" t="s">
        <v>284</v>
      </c>
      <c r="F441" s="19" t="s">
        <v>140</v>
      </c>
      <c r="G441" s="19" t="s">
        <v>265</v>
      </c>
      <c r="H441" s="19"/>
      <c r="I441" s="24" t="n">
        <f aca="false">IF(AND(ISNUMBER(B441),ISNUMBER(D441)),B441*D441,0)</f>
        <v>253.4</v>
      </c>
    </row>
    <row r="442" customFormat="false" ht="15" hidden="false" customHeight="false" outlineLevel="0" collapsed="false">
      <c r="A442" s="19" t="s">
        <v>564</v>
      </c>
      <c r="B442" s="22" t="n">
        <v>140</v>
      </c>
      <c r="C442" s="19" t="n">
        <v>13</v>
      </c>
      <c r="D442" s="23" t="n">
        <v>0.85</v>
      </c>
      <c r="E442" s="19" t="s">
        <v>135</v>
      </c>
      <c r="F442" s="19" t="s">
        <v>140</v>
      </c>
      <c r="G442" s="19" t="s">
        <v>265</v>
      </c>
      <c r="H442" s="19"/>
      <c r="I442" s="24" t="n">
        <f aca="false">IF(AND(ISNUMBER(B442),ISNUMBER(D442)),B442*D442,0)</f>
        <v>119</v>
      </c>
    </row>
    <row r="443" customFormat="false" ht="15" hidden="false" customHeight="false" outlineLevel="0" collapsed="false">
      <c r="A443" s="19" t="s">
        <v>565</v>
      </c>
      <c r="B443" s="22" t="n">
        <v>140</v>
      </c>
      <c r="C443" s="19" t="n">
        <v>17</v>
      </c>
      <c r="D443" s="23" t="n">
        <v>2.93</v>
      </c>
      <c r="E443" s="19" t="s">
        <v>145</v>
      </c>
      <c r="F443" s="19" t="s">
        <v>140</v>
      </c>
      <c r="G443" s="19" t="s">
        <v>265</v>
      </c>
      <c r="H443" s="19"/>
      <c r="I443" s="24" t="n">
        <f aca="false">IF(AND(ISNUMBER(B443),ISNUMBER(D443)),B443*D443,0)</f>
        <v>410.2</v>
      </c>
    </row>
    <row r="444" customFormat="false" ht="15" hidden="false" customHeight="false" outlineLevel="0" collapsed="false">
      <c r="A444" s="19" t="s">
        <v>566</v>
      </c>
      <c r="B444" s="22" t="n">
        <v>140</v>
      </c>
      <c r="C444" s="19" t="n">
        <v>22</v>
      </c>
      <c r="D444" s="23" t="n">
        <v>0.52</v>
      </c>
      <c r="E444" s="19" t="s">
        <v>145</v>
      </c>
      <c r="F444" s="19" t="s">
        <v>140</v>
      </c>
      <c r="G444" s="19" t="s">
        <v>265</v>
      </c>
      <c r="H444" s="19"/>
      <c r="I444" s="24" t="n">
        <f aca="false">IF(AND(ISNUMBER(B444),ISNUMBER(D444)),B444*D444,0)</f>
        <v>72.8</v>
      </c>
    </row>
    <row r="445" customFormat="false" ht="15" hidden="false" customHeight="false" outlineLevel="0" collapsed="false">
      <c r="A445" s="19" t="s">
        <v>567</v>
      </c>
      <c r="B445" s="22" t="n">
        <v>140</v>
      </c>
      <c r="C445" s="19" t="n">
        <v>15</v>
      </c>
      <c r="D445" s="23" t="n">
        <v>0.47</v>
      </c>
      <c r="E445" s="19" t="s">
        <v>135</v>
      </c>
      <c r="F445" s="19" t="s">
        <v>140</v>
      </c>
      <c r="G445" s="19" t="s">
        <v>265</v>
      </c>
      <c r="H445" s="19"/>
      <c r="I445" s="24" t="n">
        <f aca="false">IF(AND(ISNUMBER(B445),ISNUMBER(D445)),B445*D445,0)</f>
        <v>65.8</v>
      </c>
    </row>
    <row r="446" customFormat="false" ht="15" hidden="false" customHeight="false" outlineLevel="0" collapsed="false">
      <c r="A446" s="19" t="s">
        <v>568</v>
      </c>
      <c r="B446" s="22" t="n">
        <v>140</v>
      </c>
      <c r="C446" s="19" t="n">
        <v>9</v>
      </c>
      <c r="D446" s="23" t="n">
        <v>0.76</v>
      </c>
      <c r="E446" s="19" t="s">
        <v>135</v>
      </c>
      <c r="F446" s="19" t="s">
        <v>140</v>
      </c>
      <c r="G446" s="19" t="s">
        <v>265</v>
      </c>
      <c r="H446" s="19"/>
      <c r="I446" s="24" t="n">
        <f aca="false">IF(AND(ISNUMBER(B446),ISNUMBER(D446)),B446*D446,0)</f>
        <v>106.4</v>
      </c>
    </row>
    <row r="447" customFormat="false" ht="15" hidden="false" customHeight="false" outlineLevel="0" collapsed="false">
      <c r="A447" s="19" t="s">
        <v>569</v>
      </c>
      <c r="B447" s="22" t="n">
        <v>140</v>
      </c>
      <c r="C447" s="19" t="n">
        <v>20</v>
      </c>
      <c r="D447" s="23" t="n">
        <v>1.12</v>
      </c>
      <c r="E447" s="19" t="s">
        <v>145</v>
      </c>
      <c r="F447" s="19" t="s">
        <v>140</v>
      </c>
      <c r="G447" s="19" t="s">
        <v>265</v>
      </c>
      <c r="H447" s="19"/>
      <c r="I447" s="24" t="n">
        <f aca="false">IF(AND(ISNUMBER(B447),ISNUMBER(D447)),B447*D447,0)</f>
        <v>156.8</v>
      </c>
    </row>
    <row r="448" customFormat="false" ht="15" hidden="false" customHeight="false" outlineLevel="0" collapsed="false">
      <c r="A448" s="19" t="s">
        <v>570</v>
      </c>
      <c r="B448" s="22" t="n">
        <v>140</v>
      </c>
      <c r="C448" s="19" t="n">
        <v>28</v>
      </c>
      <c r="D448" s="23" t="n">
        <v>0.49</v>
      </c>
      <c r="E448" s="19" t="s">
        <v>135</v>
      </c>
      <c r="F448" s="19" t="s">
        <v>140</v>
      </c>
      <c r="G448" s="19" t="s">
        <v>265</v>
      </c>
      <c r="H448" s="19"/>
      <c r="I448" s="24" t="n">
        <f aca="false">IF(AND(ISNUMBER(B448),ISNUMBER(D448)),B448*D448,0)</f>
        <v>68.6</v>
      </c>
    </row>
    <row r="449" customFormat="false" ht="15" hidden="false" customHeight="false" outlineLevel="0" collapsed="false">
      <c r="A449" s="19" t="s">
        <v>571</v>
      </c>
      <c r="B449" s="22" t="n">
        <v>140</v>
      </c>
      <c r="C449" s="19" t="n">
        <v>25</v>
      </c>
      <c r="D449" s="23" t="n">
        <v>0.58</v>
      </c>
      <c r="E449" s="19" t="s">
        <v>168</v>
      </c>
      <c r="F449" s="19" t="s">
        <v>161</v>
      </c>
      <c r="G449" s="19" t="s">
        <v>265</v>
      </c>
      <c r="H449" s="19"/>
      <c r="I449" s="24" t="n">
        <f aca="false">IF(AND(ISNUMBER(B449),ISNUMBER(D449)),B449*D449,0)</f>
        <v>81.2</v>
      </c>
    </row>
    <row r="450" customFormat="false" ht="15" hidden="false" customHeight="false" outlineLevel="0" collapsed="false">
      <c r="A450" s="19" t="s">
        <v>572</v>
      </c>
      <c r="B450" s="22" t="n">
        <v>140</v>
      </c>
      <c r="C450" s="19" t="n">
        <v>27</v>
      </c>
      <c r="D450" s="23" t="n">
        <v>0</v>
      </c>
      <c r="E450" s="19" t="s">
        <v>185</v>
      </c>
      <c r="F450" s="19" t="s">
        <v>161</v>
      </c>
      <c r="G450" s="19" t="s">
        <v>265</v>
      </c>
      <c r="H450" s="19"/>
      <c r="I450" s="24" t="n">
        <f aca="false">IF(AND(ISNUMBER(B450),ISNUMBER(D450)),B450*D450,0)</f>
        <v>0</v>
      </c>
    </row>
    <row r="451" customFormat="false" ht="15" hidden="false" customHeight="false" outlineLevel="0" collapsed="false">
      <c r="A451" s="19" t="s">
        <v>573</v>
      </c>
      <c r="B451" s="22" t="n">
        <v>140</v>
      </c>
      <c r="C451" s="19" t="n">
        <v>23</v>
      </c>
      <c r="D451" s="23" t="n">
        <v>0.16</v>
      </c>
      <c r="E451" s="19" t="s">
        <v>185</v>
      </c>
      <c r="F451" s="19" t="s">
        <v>161</v>
      </c>
      <c r="G451" s="19" t="s">
        <v>265</v>
      </c>
      <c r="H451" s="19"/>
      <c r="I451" s="24" t="n">
        <f aca="false">IF(AND(ISNUMBER(B451),ISNUMBER(D451)),B451*D451,0)</f>
        <v>22.4</v>
      </c>
    </row>
    <row r="452" customFormat="false" ht="15" hidden="false" customHeight="false" outlineLevel="0" collapsed="false">
      <c r="A452" s="19" t="s">
        <v>574</v>
      </c>
      <c r="B452" s="22" t="n">
        <v>140</v>
      </c>
      <c r="C452" s="19" t="n">
        <v>25</v>
      </c>
      <c r="D452" s="23" t="n">
        <v>0</v>
      </c>
      <c r="E452" s="19" t="s">
        <v>575</v>
      </c>
      <c r="F452" s="19" t="s">
        <v>161</v>
      </c>
      <c r="G452" s="19" t="s">
        <v>265</v>
      </c>
      <c r="H452" s="19"/>
      <c r="I452" s="24" t="n">
        <f aca="false">IF(AND(ISNUMBER(B452),ISNUMBER(D452)),B452*D452,0)</f>
        <v>0</v>
      </c>
    </row>
    <row r="453" customFormat="false" ht="15" hidden="false" customHeight="false" outlineLevel="0" collapsed="false">
      <c r="A453" s="19" t="s">
        <v>576</v>
      </c>
      <c r="B453" s="22" t="n">
        <v>140</v>
      </c>
      <c r="C453" s="19" t="n">
        <v>17</v>
      </c>
      <c r="D453" s="23" t="n">
        <v>0</v>
      </c>
      <c r="E453" s="19" t="s">
        <v>185</v>
      </c>
      <c r="F453" s="19" t="s">
        <v>161</v>
      </c>
      <c r="G453" s="19" t="s">
        <v>265</v>
      </c>
      <c r="H453" s="19"/>
      <c r="I453" s="24" t="n">
        <f aca="false">IF(AND(ISNUMBER(B453),ISNUMBER(D453)),B453*D453,0)</f>
        <v>0</v>
      </c>
    </row>
    <row r="454" customFormat="false" ht="15" hidden="false" customHeight="false" outlineLevel="0" collapsed="false">
      <c r="A454" s="19" t="s">
        <v>577</v>
      </c>
      <c r="B454" s="22" t="n">
        <v>140</v>
      </c>
      <c r="C454" s="19" t="n">
        <v>26</v>
      </c>
      <c r="D454" s="23" t="n">
        <v>0.38</v>
      </c>
      <c r="E454" s="19" t="s">
        <v>168</v>
      </c>
      <c r="F454" s="19" t="s">
        <v>161</v>
      </c>
      <c r="G454" s="19" t="s">
        <v>265</v>
      </c>
      <c r="H454" s="19"/>
      <c r="I454" s="24" t="n">
        <f aca="false">IF(AND(ISNUMBER(B454),ISNUMBER(D454)),B454*D454,0)</f>
        <v>53.2</v>
      </c>
    </row>
    <row r="455" customFormat="false" ht="15" hidden="false" customHeight="false" outlineLevel="0" collapsed="false">
      <c r="A455" s="19" t="s">
        <v>578</v>
      </c>
      <c r="B455" s="22" t="n">
        <v>140</v>
      </c>
      <c r="C455" s="19" t="n">
        <v>22</v>
      </c>
      <c r="D455" s="23" t="n">
        <v>0.48</v>
      </c>
      <c r="E455" s="19" t="s">
        <v>290</v>
      </c>
      <c r="F455" s="19" t="s">
        <v>161</v>
      </c>
      <c r="G455" s="19" t="s">
        <v>265</v>
      </c>
      <c r="H455" s="19"/>
      <c r="I455" s="24" t="n">
        <f aca="false">IF(AND(ISNUMBER(B455),ISNUMBER(D455)),B455*D455,0)</f>
        <v>67.2</v>
      </c>
    </row>
    <row r="456" customFormat="false" ht="15" hidden="false" customHeight="false" outlineLevel="0" collapsed="false">
      <c r="A456" s="19" t="s">
        <v>579</v>
      </c>
      <c r="B456" s="22" t="n">
        <v>140</v>
      </c>
      <c r="C456" s="19" t="n">
        <v>6</v>
      </c>
      <c r="D456" s="23" t="n">
        <v>0.48</v>
      </c>
      <c r="E456" s="19" t="s">
        <v>290</v>
      </c>
      <c r="F456" s="19" t="s">
        <v>161</v>
      </c>
      <c r="G456" s="19" t="s">
        <v>265</v>
      </c>
      <c r="H456" s="19"/>
      <c r="I456" s="24" t="n">
        <f aca="false">IF(AND(ISNUMBER(B456),ISNUMBER(D456)),B456*D456,0)</f>
        <v>67.2</v>
      </c>
    </row>
    <row r="457" customFormat="false" ht="15" hidden="false" customHeight="false" outlineLevel="0" collapsed="false">
      <c r="A457" s="19" t="s">
        <v>580</v>
      </c>
      <c r="B457" s="22" t="n">
        <v>140</v>
      </c>
      <c r="C457" s="19" t="n">
        <v>23</v>
      </c>
      <c r="D457" s="23" t="n">
        <v>0.4</v>
      </c>
      <c r="E457" s="19" t="s">
        <v>168</v>
      </c>
      <c r="F457" s="19" t="s">
        <v>161</v>
      </c>
      <c r="G457" s="19" t="s">
        <v>265</v>
      </c>
      <c r="H457" s="19"/>
      <c r="I457" s="24" t="n">
        <f aca="false">IF(AND(ISNUMBER(B457),ISNUMBER(D457)),B457*D457,0)</f>
        <v>56</v>
      </c>
    </row>
    <row r="458" customFormat="false" ht="15" hidden="false" customHeight="false" outlineLevel="0" collapsed="false">
      <c r="A458" s="19" t="s">
        <v>581</v>
      </c>
      <c r="B458" s="22" t="n">
        <v>140</v>
      </c>
      <c r="C458" s="19" t="n">
        <v>18</v>
      </c>
      <c r="D458" s="23" t="n">
        <v>0.2</v>
      </c>
      <c r="E458" s="19" t="s">
        <v>284</v>
      </c>
      <c r="F458" s="19" t="s">
        <v>161</v>
      </c>
      <c r="G458" s="19" t="s">
        <v>265</v>
      </c>
      <c r="H458" s="19"/>
      <c r="I458" s="24" t="n">
        <f aca="false">IF(AND(ISNUMBER(B458),ISNUMBER(D458)),B458*D458,0)</f>
        <v>28</v>
      </c>
    </row>
    <row r="459" customFormat="false" ht="15" hidden="false" customHeight="false" outlineLevel="0" collapsed="false">
      <c r="A459" s="19" t="s">
        <v>582</v>
      </c>
      <c r="B459" s="22" t="n">
        <v>140</v>
      </c>
      <c r="C459" s="19" t="n">
        <v>24</v>
      </c>
      <c r="D459" s="23" t="n">
        <v>0</v>
      </c>
      <c r="E459" s="19" t="s">
        <v>185</v>
      </c>
      <c r="F459" s="19" t="s">
        <v>161</v>
      </c>
      <c r="G459" s="19" t="s">
        <v>265</v>
      </c>
      <c r="H459" s="19"/>
      <c r="I459" s="24" t="n">
        <f aca="false">IF(AND(ISNUMBER(B459),ISNUMBER(D459)),B459*D459,0)</f>
        <v>0</v>
      </c>
    </row>
    <row r="460" customFormat="false" ht="15" hidden="false" customHeight="false" outlineLevel="0" collapsed="false">
      <c r="A460" s="19" t="s">
        <v>583</v>
      </c>
      <c r="B460" s="22" t="n">
        <v>140</v>
      </c>
      <c r="C460" s="19" t="n">
        <v>26</v>
      </c>
      <c r="D460" s="23" t="n">
        <v>1.17</v>
      </c>
      <c r="E460" s="19" t="s">
        <v>185</v>
      </c>
      <c r="F460" s="19" t="s">
        <v>161</v>
      </c>
      <c r="G460" s="19" t="s">
        <v>265</v>
      </c>
      <c r="H460" s="19"/>
      <c r="I460" s="24" t="n">
        <f aca="false">IF(AND(ISNUMBER(B460),ISNUMBER(D460)),B460*D460,0)</f>
        <v>163.8</v>
      </c>
    </row>
    <row r="461" customFormat="false" ht="15" hidden="false" customHeight="false" outlineLevel="0" collapsed="false">
      <c r="A461" s="19" t="s">
        <v>584</v>
      </c>
      <c r="B461" s="22" t="n">
        <v>140</v>
      </c>
      <c r="C461" s="19" t="n">
        <v>21</v>
      </c>
      <c r="D461" s="23" t="n">
        <v>0.49</v>
      </c>
      <c r="E461" s="19" t="s">
        <v>175</v>
      </c>
      <c r="F461" s="19" t="s">
        <v>161</v>
      </c>
      <c r="G461" s="19" t="s">
        <v>265</v>
      </c>
      <c r="H461" s="19"/>
      <c r="I461" s="24" t="n">
        <f aca="false">IF(AND(ISNUMBER(B461),ISNUMBER(D461)),B461*D461,0)</f>
        <v>68.6</v>
      </c>
    </row>
    <row r="462" customFormat="false" ht="15" hidden="false" customHeight="false" outlineLevel="0" collapsed="false">
      <c r="A462" s="19" t="s">
        <v>585</v>
      </c>
      <c r="B462" s="22" t="n">
        <v>140</v>
      </c>
      <c r="C462" s="19" t="n">
        <v>20</v>
      </c>
      <c r="D462" s="23" t="n">
        <v>0.27</v>
      </c>
      <c r="E462" s="19" t="s">
        <v>145</v>
      </c>
      <c r="F462" s="19" t="s">
        <v>161</v>
      </c>
      <c r="G462" s="19" t="s">
        <v>265</v>
      </c>
      <c r="H462" s="19"/>
      <c r="I462" s="24" t="n">
        <f aca="false">IF(AND(ISNUMBER(B462),ISNUMBER(D462)),B462*D462,0)</f>
        <v>37.8</v>
      </c>
    </row>
    <row r="463" customFormat="false" ht="15" hidden="false" customHeight="false" outlineLevel="0" collapsed="false">
      <c r="A463" s="19" t="s">
        <v>586</v>
      </c>
      <c r="B463" s="22" t="n">
        <v>140</v>
      </c>
      <c r="C463" s="19" t="n">
        <v>23</v>
      </c>
      <c r="D463" s="23" t="n">
        <v>0.29</v>
      </c>
      <c r="E463" s="19" t="s">
        <v>135</v>
      </c>
      <c r="F463" s="19" t="s">
        <v>161</v>
      </c>
      <c r="G463" s="19" t="s">
        <v>265</v>
      </c>
      <c r="H463" s="19"/>
      <c r="I463" s="24" t="n">
        <f aca="false">IF(AND(ISNUMBER(B463),ISNUMBER(D463)),B463*D463,0)</f>
        <v>40.6</v>
      </c>
    </row>
    <row r="464" customFormat="false" ht="15" hidden="false" customHeight="false" outlineLevel="0" collapsed="false">
      <c r="A464" s="19" t="s">
        <v>587</v>
      </c>
      <c r="B464" s="22" t="n">
        <v>140</v>
      </c>
      <c r="C464" s="19" t="n">
        <v>18</v>
      </c>
      <c r="D464" s="23" t="n">
        <v>0.29</v>
      </c>
      <c r="E464" s="19" t="s">
        <v>135</v>
      </c>
      <c r="F464" s="19" t="s">
        <v>161</v>
      </c>
      <c r="G464" s="19" t="s">
        <v>265</v>
      </c>
      <c r="H464" s="19"/>
      <c r="I464" s="24" t="n">
        <f aca="false">IF(AND(ISNUMBER(B464),ISNUMBER(D464)),B464*D464,0)</f>
        <v>40.6</v>
      </c>
    </row>
    <row r="465" customFormat="false" ht="15" hidden="false" customHeight="false" outlineLevel="0" collapsed="false">
      <c r="A465" s="19" t="s">
        <v>588</v>
      </c>
      <c r="B465" s="22" t="n">
        <v>140</v>
      </c>
      <c r="C465" s="19" t="n">
        <v>9</v>
      </c>
      <c r="D465" s="23" t="n">
        <v>0</v>
      </c>
      <c r="E465" s="19" t="s">
        <v>145</v>
      </c>
      <c r="F465" s="19" t="s">
        <v>161</v>
      </c>
      <c r="G465" s="19" t="s">
        <v>265</v>
      </c>
      <c r="H465" s="19"/>
      <c r="I465" s="24" t="n">
        <f aca="false">IF(AND(ISNUMBER(B465),ISNUMBER(D465)),B465*D465,0)</f>
        <v>0</v>
      </c>
    </row>
    <row r="466" customFormat="false" ht="15" hidden="false" customHeight="false" outlineLevel="0" collapsed="false">
      <c r="A466" s="19" t="s">
        <v>589</v>
      </c>
      <c r="B466" s="22" t="n">
        <v>140</v>
      </c>
      <c r="C466" s="19" t="n">
        <v>22</v>
      </c>
      <c r="D466" s="23" t="n">
        <v>0.27</v>
      </c>
      <c r="E466" s="19" t="s">
        <v>135</v>
      </c>
      <c r="F466" s="19" t="s">
        <v>161</v>
      </c>
      <c r="G466" s="19" t="s">
        <v>265</v>
      </c>
      <c r="H466" s="19"/>
      <c r="I466" s="24" t="n">
        <f aca="false">IF(AND(ISNUMBER(B466),ISNUMBER(D466)),B466*D466,0)</f>
        <v>37.8</v>
      </c>
    </row>
    <row r="467" customFormat="false" ht="15" hidden="false" customHeight="false" outlineLevel="0" collapsed="false">
      <c r="A467" s="19" t="s">
        <v>590</v>
      </c>
      <c r="B467" s="22" t="n">
        <v>140</v>
      </c>
      <c r="C467" s="19" t="n">
        <v>14</v>
      </c>
      <c r="D467" s="23" t="n">
        <v>2.29</v>
      </c>
      <c r="E467" s="19" t="s">
        <v>135</v>
      </c>
      <c r="F467" s="19" t="s">
        <v>161</v>
      </c>
      <c r="G467" s="19" t="s">
        <v>265</v>
      </c>
      <c r="H467" s="19"/>
      <c r="I467" s="24" t="n">
        <f aca="false">IF(AND(ISNUMBER(B467),ISNUMBER(D467)),B467*D467,0)</f>
        <v>320.6</v>
      </c>
    </row>
    <row r="468" customFormat="false" ht="15" hidden="false" customHeight="false" outlineLevel="0" collapsed="false">
      <c r="A468" s="19" t="s">
        <v>591</v>
      </c>
      <c r="B468" s="22" t="n">
        <v>140</v>
      </c>
      <c r="C468" s="19" t="n">
        <v>22</v>
      </c>
      <c r="D468" s="23" t="n">
        <v>2.29</v>
      </c>
      <c r="E468" s="19" t="s">
        <v>135</v>
      </c>
      <c r="F468" s="19" t="s">
        <v>161</v>
      </c>
      <c r="G468" s="19" t="s">
        <v>265</v>
      </c>
      <c r="H468" s="19"/>
      <c r="I468" s="24" t="n">
        <f aca="false">IF(AND(ISNUMBER(B468),ISNUMBER(D468)),B468*D468,0)</f>
        <v>320.6</v>
      </c>
    </row>
    <row r="469" customFormat="false" ht="15" hidden="false" customHeight="false" outlineLevel="0" collapsed="false">
      <c r="A469" s="19" t="s">
        <v>592</v>
      </c>
      <c r="B469" s="22" t="n">
        <v>140</v>
      </c>
      <c r="C469" s="19" t="n">
        <v>24</v>
      </c>
      <c r="D469" s="23" t="n">
        <v>0.95</v>
      </c>
      <c r="E469" s="19" t="s">
        <v>135</v>
      </c>
      <c r="F469" s="19" t="s">
        <v>161</v>
      </c>
      <c r="G469" s="19" t="s">
        <v>265</v>
      </c>
      <c r="H469" s="19"/>
      <c r="I469" s="24" t="n">
        <f aca="false">IF(AND(ISNUMBER(B469),ISNUMBER(D469)),B469*D469,0)</f>
        <v>133</v>
      </c>
    </row>
    <row r="470" customFormat="false" ht="15" hidden="false" customHeight="false" outlineLevel="0" collapsed="false">
      <c r="A470" s="19" t="s">
        <v>593</v>
      </c>
      <c r="B470" s="22" t="n">
        <v>140</v>
      </c>
      <c r="C470" s="19" t="n">
        <v>21</v>
      </c>
      <c r="D470" s="23" t="n">
        <v>0</v>
      </c>
      <c r="E470" s="19" t="s">
        <v>135</v>
      </c>
      <c r="F470" s="19" t="s">
        <v>161</v>
      </c>
      <c r="G470" s="19" t="s">
        <v>265</v>
      </c>
      <c r="H470" s="19"/>
      <c r="I470" s="24" t="n">
        <f aca="false">IF(AND(ISNUMBER(B470),ISNUMBER(D470)),B470*D470,0)</f>
        <v>0</v>
      </c>
    </row>
    <row r="471" customFormat="false" ht="15" hidden="false" customHeight="false" outlineLevel="0" collapsed="false">
      <c r="A471" s="19" t="s">
        <v>594</v>
      </c>
      <c r="B471" s="22" t="n">
        <v>140</v>
      </c>
      <c r="C471" s="19" t="n">
        <v>16</v>
      </c>
      <c r="D471" s="23" t="n">
        <v>2.29</v>
      </c>
      <c r="E471" s="19" t="s">
        <v>135</v>
      </c>
      <c r="F471" s="19" t="s">
        <v>161</v>
      </c>
      <c r="G471" s="19" t="s">
        <v>265</v>
      </c>
      <c r="H471" s="19"/>
      <c r="I471" s="24" t="n">
        <f aca="false">IF(AND(ISNUMBER(B471),ISNUMBER(D471)),B471*D471,0)</f>
        <v>320.6</v>
      </c>
    </row>
    <row r="472" customFormat="false" ht="15" hidden="false" customHeight="false" outlineLevel="0" collapsed="false">
      <c r="A472" s="19" t="s">
        <v>595</v>
      </c>
      <c r="B472" s="22" t="n">
        <v>140</v>
      </c>
      <c r="C472" s="19" t="n">
        <v>15</v>
      </c>
      <c r="D472" s="23" t="n">
        <v>0.82</v>
      </c>
      <c r="E472" s="19" t="s">
        <v>145</v>
      </c>
      <c r="F472" s="19" t="s">
        <v>161</v>
      </c>
      <c r="G472" s="19" t="s">
        <v>265</v>
      </c>
      <c r="H472" s="19"/>
      <c r="I472" s="24" t="n">
        <f aca="false">IF(AND(ISNUMBER(B472),ISNUMBER(D472)),B472*D472,0)</f>
        <v>114.8</v>
      </c>
    </row>
    <row r="473" customFormat="false" ht="15" hidden="false" customHeight="false" outlineLevel="0" collapsed="false">
      <c r="A473" s="19" t="s">
        <v>596</v>
      </c>
      <c r="B473" s="22" t="n">
        <v>140</v>
      </c>
      <c r="C473" s="19" t="n">
        <v>22</v>
      </c>
      <c r="D473" s="23" t="n">
        <v>0.77</v>
      </c>
      <c r="E473" s="19" t="s">
        <v>145</v>
      </c>
      <c r="F473" s="19" t="s">
        <v>161</v>
      </c>
      <c r="G473" s="19" t="s">
        <v>265</v>
      </c>
      <c r="H473" s="19"/>
      <c r="I473" s="24" t="n">
        <f aca="false">IF(AND(ISNUMBER(B473),ISNUMBER(D473)),B473*D473,0)</f>
        <v>107.8</v>
      </c>
    </row>
    <row r="474" customFormat="false" ht="15" hidden="false" customHeight="false" outlineLevel="0" collapsed="false">
      <c r="A474" s="19" t="s">
        <v>597</v>
      </c>
      <c r="B474" s="22" t="n">
        <v>140</v>
      </c>
      <c r="C474" s="19" t="n">
        <v>22</v>
      </c>
      <c r="D474" s="23" t="n">
        <v>1.62</v>
      </c>
      <c r="E474" s="19" t="s">
        <v>135</v>
      </c>
      <c r="F474" s="19" t="s">
        <v>161</v>
      </c>
      <c r="G474" s="19" t="s">
        <v>265</v>
      </c>
      <c r="H474" s="19"/>
      <c r="I474" s="24" t="n">
        <f aca="false">IF(AND(ISNUMBER(B474),ISNUMBER(D474)),B474*D474,0)</f>
        <v>226.8</v>
      </c>
    </row>
    <row r="475" customFormat="false" ht="15" hidden="false" customHeight="false" outlineLevel="0" collapsed="false">
      <c r="A475" s="19" t="s">
        <v>598</v>
      </c>
      <c r="B475" s="22" t="n">
        <v>140</v>
      </c>
      <c r="C475" s="19" t="n">
        <v>25</v>
      </c>
      <c r="D475" s="23" t="n">
        <v>0.7</v>
      </c>
      <c r="E475" s="19" t="s">
        <v>145</v>
      </c>
      <c r="F475" s="19" t="s">
        <v>140</v>
      </c>
      <c r="G475" s="19" t="s">
        <v>265</v>
      </c>
      <c r="H475" s="19"/>
      <c r="I475" s="24" t="n">
        <f aca="false">IF(AND(ISNUMBER(B475),ISNUMBER(D475)),B475*D475,0)</f>
        <v>98</v>
      </c>
    </row>
    <row r="476" customFormat="false" ht="15" hidden="false" customHeight="false" outlineLevel="0" collapsed="false">
      <c r="A476" s="19" t="s">
        <v>599</v>
      </c>
      <c r="B476" s="22" t="n">
        <v>140</v>
      </c>
      <c r="C476" s="19" t="n">
        <v>23</v>
      </c>
      <c r="D476" s="23" t="n">
        <v>0</v>
      </c>
      <c r="E476" s="19" t="s">
        <v>157</v>
      </c>
      <c r="F476" s="19" t="s">
        <v>140</v>
      </c>
      <c r="G476" s="19" t="s">
        <v>265</v>
      </c>
      <c r="H476" s="19"/>
      <c r="I476" s="24" t="n">
        <f aca="false">IF(AND(ISNUMBER(B476),ISNUMBER(D476)),B476*D476,0)</f>
        <v>0</v>
      </c>
    </row>
    <row r="477" customFormat="false" ht="15" hidden="false" customHeight="false" outlineLevel="0" collapsed="false">
      <c r="A477" s="19" t="s">
        <v>600</v>
      </c>
      <c r="B477" s="22" t="n">
        <v>140</v>
      </c>
      <c r="C477" s="19" t="n">
        <v>23</v>
      </c>
      <c r="D477" s="23" t="n">
        <v>0.47</v>
      </c>
      <c r="E477" s="19" t="s">
        <v>135</v>
      </c>
      <c r="F477" s="19" t="s">
        <v>140</v>
      </c>
      <c r="G477" s="19" t="s">
        <v>265</v>
      </c>
      <c r="H477" s="19"/>
      <c r="I477" s="24" t="n">
        <f aca="false">IF(AND(ISNUMBER(B477),ISNUMBER(D477)),B477*D477,0)</f>
        <v>65.8</v>
      </c>
    </row>
    <row r="478" customFormat="false" ht="15" hidden="false" customHeight="false" outlineLevel="0" collapsed="false">
      <c r="A478" s="19" t="s">
        <v>601</v>
      </c>
      <c r="B478" s="22" t="n">
        <v>140</v>
      </c>
      <c r="C478" s="19" t="n">
        <v>27</v>
      </c>
      <c r="D478" s="23" t="n">
        <v>0</v>
      </c>
      <c r="E478" s="19" t="s">
        <v>145</v>
      </c>
      <c r="F478" s="19" t="s">
        <v>136</v>
      </c>
      <c r="G478" s="19" t="s">
        <v>265</v>
      </c>
      <c r="H478" s="19"/>
      <c r="I478" s="24" t="n">
        <f aca="false">IF(AND(ISNUMBER(B478),ISNUMBER(D478)),B478*D478,0)</f>
        <v>0</v>
      </c>
    </row>
    <row r="479" customFormat="false" ht="15" hidden="false" customHeight="false" outlineLevel="0" collapsed="false">
      <c r="A479" s="19" t="s">
        <v>602</v>
      </c>
      <c r="B479" s="22" t="n">
        <v>140</v>
      </c>
      <c r="C479" s="19" t="n">
        <v>21</v>
      </c>
      <c r="D479" s="23" t="n">
        <v>0.52</v>
      </c>
      <c r="E479" s="19" t="s">
        <v>135</v>
      </c>
      <c r="F479" s="19" t="s">
        <v>136</v>
      </c>
      <c r="G479" s="19" t="s">
        <v>265</v>
      </c>
      <c r="H479" s="19"/>
      <c r="I479" s="24" t="n">
        <f aca="false">IF(AND(ISNUMBER(B479),ISNUMBER(D479)),B479*D479,0)</f>
        <v>72.8</v>
      </c>
    </row>
    <row r="480" customFormat="false" ht="15" hidden="false" customHeight="false" outlineLevel="0" collapsed="false">
      <c r="A480" s="19" t="s">
        <v>603</v>
      </c>
      <c r="B480" s="22" t="n">
        <v>140</v>
      </c>
      <c r="C480" s="19" t="n">
        <v>26</v>
      </c>
      <c r="D480" s="23" t="n">
        <v>0.86</v>
      </c>
      <c r="E480" s="19" t="s">
        <v>135</v>
      </c>
      <c r="F480" s="19" t="s">
        <v>136</v>
      </c>
      <c r="G480" s="19" t="s">
        <v>265</v>
      </c>
      <c r="H480" s="19"/>
      <c r="I480" s="24" t="n">
        <f aca="false">IF(AND(ISNUMBER(B480),ISNUMBER(D480)),B480*D480,0)</f>
        <v>120.4</v>
      </c>
    </row>
    <row r="481" customFormat="false" ht="15" hidden="false" customHeight="false" outlineLevel="0" collapsed="false">
      <c r="A481" s="19" t="s">
        <v>604</v>
      </c>
      <c r="B481" s="22" t="n">
        <v>140</v>
      </c>
      <c r="C481" s="19" t="n">
        <v>23</v>
      </c>
      <c r="D481" s="23" t="n">
        <v>0.68</v>
      </c>
      <c r="E481" s="19" t="s">
        <v>135</v>
      </c>
      <c r="F481" s="19" t="s">
        <v>136</v>
      </c>
      <c r="G481" s="19" t="s">
        <v>265</v>
      </c>
      <c r="H481" s="19"/>
      <c r="I481" s="24" t="n">
        <f aca="false">IF(AND(ISNUMBER(B481),ISNUMBER(D481)),B481*D481,0)</f>
        <v>95.2</v>
      </c>
    </row>
    <row r="482" customFormat="false" ht="15" hidden="false" customHeight="false" outlineLevel="0" collapsed="false">
      <c r="A482" s="19" t="s">
        <v>605</v>
      </c>
      <c r="B482" s="22" t="n">
        <v>140</v>
      </c>
      <c r="C482" s="19" t="n">
        <v>24</v>
      </c>
      <c r="D482" s="23" t="n">
        <v>0</v>
      </c>
      <c r="E482" s="19" t="s">
        <v>145</v>
      </c>
      <c r="F482" s="19" t="s">
        <v>136</v>
      </c>
      <c r="G482" s="19" t="s">
        <v>265</v>
      </c>
      <c r="H482" s="19"/>
      <c r="I482" s="24" t="n">
        <f aca="false">IF(AND(ISNUMBER(B482),ISNUMBER(D482)),B482*D482,0)</f>
        <v>0</v>
      </c>
    </row>
    <row r="483" customFormat="false" ht="15" hidden="false" customHeight="false" outlineLevel="0" collapsed="false">
      <c r="A483" s="19" t="s">
        <v>606</v>
      </c>
      <c r="B483" s="22" t="n">
        <v>140</v>
      </c>
      <c r="C483" s="19" t="n">
        <v>6</v>
      </c>
      <c r="D483" s="23" t="n">
        <v>0</v>
      </c>
      <c r="E483" s="19" t="s">
        <v>157</v>
      </c>
      <c r="F483" s="19" t="s">
        <v>136</v>
      </c>
      <c r="G483" s="19" t="s">
        <v>265</v>
      </c>
      <c r="H483" s="19"/>
      <c r="I483" s="24" t="n">
        <f aca="false">IF(AND(ISNUMBER(B483),ISNUMBER(D483)),B483*D483,0)</f>
        <v>0</v>
      </c>
    </row>
    <row r="484" customFormat="false" ht="15" hidden="false" customHeight="false" outlineLevel="0" collapsed="false">
      <c r="A484" s="19" t="s">
        <v>607</v>
      </c>
      <c r="B484" s="22" t="n">
        <v>140</v>
      </c>
      <c r="C484" s="19" t="n">
        <v>24</v>
      </c>
      <c r="D484" s="23" t="n">
        <v>0.59</v>
      </c>
      <c r="E484" s="19" t="s">
        <v>135</v>
      </c>
      <c r="F484" s="19" t="s">
        <v>136</v>
      </c>
      <c r="G484" s="19" t="s">
        <v>265</v>
      </c>
      <c r="H484" s="19"/>
      <c r="I484" s="24" t="n">
        <f aca="false">IF(AND(ISNUMBER(B484),ISNUMBER(D484)),B484*D484,0)</f>
        <v>82.6</v>
      </c>
    </row>
    <row r="485" customFormat="false" ht="15" hidden="false" customHeight="false" outlineLevel="0" collapsed="false">
      <c r="A485" s="19" t="s">
        <v>608</v>
      </c>
      <c r="B485" s="22" t="n">
        <v>140</v>
      </c>
      <c r="C485" s="19" t="n">
        <v>23</v>
      </c>
      <c r="D485" s="23" t="n">
        <v>0</v>
      </c>
      <c r="E485" s="19" t="s">
        <v>145</v>
      </c>
      <c r="F485" s="19" t="s">
        <v>136</v>
      </c>
      <c r="G485" s="19" t="s">
        <v>265</v>
      </c>
      <c r="H485" s="19"/>
      <c r="I485" s="24" t="n">
        <f aca="false">IF(AND(ISNUMBER(B485),ISNUMBER(D485)),B485*D485,0)</f>
        <v>0</v>
      </c>
    </row>
    <row r="486" customFormat="false" ht="15" hidden="false" customHeight="false" outlineLevel="0" collapsed="false">
      <c r="A486" s="19" t="s">
        <v>609</v>
      </c>
      <c r="B486" s="22" t="n">
        <v>140</v>
      </c>
      <c r="C486" s="19" t="n">
        <v>14</v>
      </c>
      <c r="D486" s="23" t="n">
        <v>0</v>
      </c>
      <c r="E486" s="19" t="s">
        <v>145</v>
      </c>
      <c r="F486" s="19" t="s">
        <v>136</v>
      </c>
      <c r="G486" s="19" t="s">
        <v>265</v>
      </c>
      <c r="H486" s="19"/>
      <c r="I486" s="24" t="n">
        <f aca="false">IF(AND(ISNUMBER(B486),ISNUMBER(D486)),B486*D486,0)</f>
        <v>0</v>
      </c>
    </row>
    <row r="487" customFormat="false" ht="15" hidden="false" customHeight="false" outlineLevel="0" collapsed="false">
      <c r="A487" s="19" t="s">
        <v>610</v>
      </c>
      <c r="B487" s="22" t="n">
        <v>140</v>
      </c>
      <c r="C487" s="19" t="n">
        <v>19</v>
      </c>
      <c r="D487" s="23" t="n">
        <v>0.78</v>
      </c>
      <c r="E487" s="19" t="s">
        <v>135</v>
      </c>
      <c r="F487" s="19" t="s">
        <v>136</v>
      </c>
      <c r="G487" s="19" t="s">
        <v>265</v>
      </c>
      <c r="H487" s="19"/>
      <c r="I487" s="24" t="n">
        <f aca="false">IF(AND(ISNUMBER(B487),ISNUMBER(D487)),B487*D487,0)</f>
        <v>109.2</v>
      </c>
    </row>
    <row r="488" customFormat="false" ht="15" hidden="false" customHeight="false" outlineLevel="0" collapsed="false">
      <c r="A488" s="19" t="s">
        <v>611</v>
      </c>
      <c r="B488" s="22" t="n">
        <v>140</v>
      </c>
      <c r="C488" s="19" t="n">
        <v>17</v>
      </c>
      <c r="D488" s="23" t="n">
        <v>0</v>
      </c>
      <c r="E488" s="19" t="s">
        <v>145</v>
      </c>
      <c r="F488" s="19" t="s">
        <v>136</v>
      </c>
      <c r="G488" s="19" t="s">
        <v>265</v>
      </c>
      <c r="H488" s="19"/>
      <c r="I488" s="24" t="n">
        <f aca="false">IF(AND(ISNUMBER(B488),ISNUMBER(D488)),B488*D488,0)</f>
        <v>0</v>
      </c>
    </row>
    <row r="489" customFormat="false" ht="15" hidden="false" customHeight="false" outlineLevel="0" collapsed="false">
      <c r="A489" s="19" t="s">
        <v>612</v>
      </c>
      <c r="B489" s="22" t="n">
        <v>140</v>
      </c>
      <c r="C489" s="19" t="n">
        <v>26</v>
      </c>
      <c r="D489" s="23" t="n">
        <v>0</v>
      </c>
      <c r="E489" s="19" t="s">
        <v>135</v>
      </c>
      <c r="F489" s="19" t="s">
        <v>136</v>
      </c>
      <c r="G489" s="19" t="s">
        <v>265</v>
      </c>
      <c r="H489" s="19"/>
      <c r="I489" s="24" t="n">
        <f aca="false">IF(AND(ISNUMBER(B489),ISNUMBER(D489)),B489*D489,0)</f>
        <v>0</v>
      </c>
    </row>
    <row r="490" customFormat="false" ht="15" hidden="false" customHeight="false" outlineLevel="0" collapsed="false">
      <c r="A490" s="19" t="s">
        <v>613</v>
      </c>
      <c r="B490" s="22" t="n">
        <v>140</v>
      </c>
      <c r="C490" s="19" t="n">
        <v>12</v>
      </c>
      <c r="D490" s="23" t="n">
        <v>3.87</v>
      </c>
      <c r="E490" s="19" t="s">
        <v>157</v>
      </c>
      <c r="F490" s="19" t="s">
        <v>136</v>
      </c>
      <c r="G490" s="19" t="s">
        <v>265</v>
      </c>
      <c r="H490" s="19"/>
      <c r="I490" s="24" t="n">
        <f aca="false">IF(AND(ISNUMBER(B490),ISNUMBER(D490)),B490*D490,0)</f>
        <v>541.8</v>
      </c>
    </row>
    <row r="491" customFormat="false" ht="15" hidden="false" customHeight="false" outlineLevel="0" collapsed="false">
      <c r="A491" s="19" t="s">
        <v>614</v>
      </c>
      <c r="B491" s="22" t="n">
        <v>140</v>
      </c>
      <c r="C491" s="19" t="n">
        <v>20</v>
      </c>
      <c r="D491" s="23" t="n">
        <v>0</v>
      </c>
      <c r="E491" s="19" t="s">
        <v>145</v>
      </c>
      <c r="F491" s="19" t="s">
        <v>136</v>
      </c>
      <c r="G491" s="19" t="s">
        <v>265</v>
      </c>
      <c r="H491" s="19"/>
      <c r="I491" s="24" t="n">
        <f aca="false">IF(AND(ISNUMBER(B491),ISNUMBER(D491)),B491*D491,0)</f>
        <v>0</v>
      </c>
    </row>
    <row r="492" customFormat="false" ht="15" hidden="false" customHeight="false" outlineLevel="0" collapsed="false">
      <c r="A492" s="19" t="s">
        <v>615</v>
      </c>
      <c r="B492" s="22" t="n">
        <v>140</v>
      </c>
      <c r="C492" s="19" t="n">
        <v>12</v>
      </c>
      <c r="D492" s="23" t="n">
        <v>0</v>
      </c>
      <c r="E492" s="19" t="s">
        <v>135</v>
      </c>
      <c r="F492" s="19" t="s">
        <v>136</v>
      </c>
      <c r="G492" s="19" t="s">
        <v>265</v>
      </c>
      <c r="H492" s="19"/>
      <c r="I492" s="24" t="n">
        <f aca="false">IF(AND(ISNUMBER(B492),ISNUMBER(D492)),B492*D492,0)</f>
        <v>0</v>
      </c>
    </row>
    <row r="493" customFormat="false" ht="15" hidden="false" customHeight="false" outlineLevel="0" collapsed="false">
      <c r="A493" s="19" t="s">
        <v>616</v>
      </c>
      <c r="B493" s="22" t="n">
        <v>140</v>
      </c>
      <c r="C493" s="19" t="n">
        <v>14</v>
      </c>
      <c r="D493" s="23" t="n">
        <v>5.16</v>
      </c>
      <c r="E493" s="19" t="s">
        <v>135</v>
      </c>
      <c r="F493" s="19" t="s">
        <v>136</v>
      </c>
      <c r="G493" s="19" t="s">
        <v>265</v>
      </c>
      <c r="H493" s="19"/>
      <c r="I493" s="24" t="n">
        <f aca="false">IF(AND(ISNUMBER(B493),ISNUMBER(D493)),B493*D493,0)</f>
        <v>722.4</v>
      </c>
    </row>
    <row r="494" customFormat="false" ht="15" hidden="false" customHeight="false" outlineLevel="0" collapsed="false">
      <c r="A494" s="19" t="s">
        <v>617</v>
      </c>
      <c r="B494" s="22" t="n">
        <v>140</v>
      </c>
      <c r="C494" s="19" t="n">
        <v>23</v>
      </c>
      <c r="D494" s="23" t="n">
        <v>6.4</v>
      </c>
      <c r="E494" s="19" t="s">
        <v>135</v>
      </c>
      <c r="F494" s="19" t="s">
        <v>136</v>
      </c>
      <c r="G494" s="19" t="s">
        <v>265</v>
      </c>
      <c r="H494" s="19"/>
      <c r="I494" s="24" t="n">
        <f aca="false">IF(AND(ISNUMBER(B494),ISNUMBER(D494)),B494*D494,0)</f>
        <v>896</v>
      </c>
    </row>
    <row r="495" customFormat="false" ht="15" hidden="false" customHeight="false" outlineLevel="0" collapsed="false">
      <c r="A495" s="19" t="s">
        <v>618</v>
      </c>
      <c r="B495" s="22" t="n">
        <v>140</v>
      </c>
      <c r="C495" s="19" t="n">
        <v>17</v>
      </c>
      <c r="D495" s="23" t="n">
        <v>0</v>
      </c>
      <c r="E495" s="19" t="s">
        <v>145</v>
      </c>
      <c r="F495" s="19" t="s">
        <v>136</v>
      </c>
      <c r="G495" s="19" t="s">
        <v>265</v>
      </c>
      <c r="H495" s="19"/>
      <c r="I495" s="24" t="n">
        <f aca="false">IF(AND(ISNUMBER(B495),ISNUMBER(D495)),B495*D495,0)</f>
        <v>0</v>
      </c>
    </row>
    <row r="496" customFormat="false" ht="15" hidden="false" customHeight="false" outlineLevel="0" collapsed="false">
      <c r="A496" s="19" t="s">
        <v>619</v>
      </c>
      <c r="B496" s="22" t="n">
        <v>140</v>
      </c>
      <c r="C496" s="19" t="n">
        <v>29</v>
      </c>
      <c r="D496" s="23" t="n">
        <v>0</v>
      </c>
      <c r="E496" s="19" t="s">
        <v>145</v>
      </c>
      <c r="F496" s="19" t="s">
        <v>136</v>
      </c>
      <c r="G496" s="19" t="s">
        <v>265</v>
      </c>
      <c r="H496" s="19"/>
      <c r="I496" s="24" t="n">
        <f aca="false">IF(AND(ISNUMBER(B496),ISNUMBER(D496)),B496*D496,0)</f>
        <v>0</v>
      </c>
    </row>
    <row r="497" customFormat="false" ht="15" hidden="false" customHeight="false" outlineLevel="0" collapsed="false">
      <c r="A497" s="19" t="s">
        <v>620</v>
      </c>
      <c r="B497" s="22" t="n">
        <v>140</v>
      </c>
      <c r="C497" s="19" t="n">
        <v>10</v>
      </c>
      <c r="D497" s="23" t="n">
        <v>0</v>
      </c>
      <c r="E497" s="19" t="s">
        <v>145</v>
      </c>
      <c r="F497" s="19" t="s">
        <v>136</v>
      </c>
      <c r="G497" s="19" t="s">
        <v>265</v>
      </c>
      <c r="H497" s="19"/>
      <c r="I497" s="24" t="n">
        <f aca="false">IF(AND(ISNUMBER(B497),ISNUMBER(D497)),B497*D497,0)</f>
        <v>0</v>
      </c>
    </row>
    <row r="498" customFormat="false" ht="15" hidden="false" customHeight="false" outlineLevel="0" collapsed="false">
      <c r="A498" s="19" t="s">
        <v>621</v>
      </c>
      <c r="B498" s="22" t="n">
        <v>140</v>
      </c>
      <c r="C498" s="19" t="n">
        <v>15</v>
      </c>
      <c r="D498" s="23" t="n">
        <v>0</v>
      </c>
      <c r="E498" s="19" t="s">
        <v>135</v>
      </c>
      <c r="F498" s="19" t="s">
        <v>136</v>
      </c>
      <c r="G498" s="19" t="s">
        <v>265</v>
      </c>
      <c r="H498" s="19"/>
      <c r="I498" s="24" t="n">
        <f aca="false">IF(AND(ISNUMBER(B498),ISNUMBER(D498)),B498*D498,0)</f>
        <v>0</v>
      </c>
    </row>
    <row r="499" customFormat="false" ht="15" hidden="false" customHeight="false" outlineLevel="0" collapsed="false">
      <c r="A499" s="19" t="s">
        <v>622</v>
      </c>
      <c r="B499" s="22" t="n">
        <v>140</v>
      </c>
      <c r="C499" s="19" t="n">
        <v>16</v>
      </c>
      <c r="D499" s="23" t="n">
        <v>0.22</v>
      </c>
      <c r="E499" s="19" t="s">
        <v>135</v>
      </c>
      <c r="F499" s="19" t="s">
        <v>136</v>
      </c>
      <c r="G499" s="19" t="s">
        <v>265</v>
      </c>
      <c r="H499" s="19"/>
      <c r="I499" s="24" t="n">
        <f aca="false">IF(AND(ISNUMBER(B499),ISNUMBER(D499)),B499*D499,0)</f>
        <v>30.8</v>
      </c>
    </row>
    <row r="500" customFormat="false" ht="15" hidden="false" customHeight="false" outlineLevel="0" collapsed="false">
      <c r="A500" s="19" t="s">
        <v>623</v>
      </c>
      <c r="B500" s="22" t="n">
        <v>140</v>
      </c>
      <c r="C500" s="19" t="n">
        <v>20</v>
      </c>
      <c r="D500" s="23" t="n">
        <v>0.22</v>
      </c>
      <c r="E500" s="19" t="s">
        <v>135</v>
      </c>
      <c r="F500" s="19" t="s">
        <v>136</v>
      </c>
      <c r="G500" s="19" t="s">
        <v>265</v>
      </c>
      <c r="H500" s="19"/>
      <c r="I500" s="24" t="n">
        <f aca="false">IF(AND(ISNUMBER(B500),ISNUMBER(D500)),B500*D500,0)</f>
        <v>30.8</v>
      </c>
    </row>
    <row r="501" customFormat="false" ht="15" hidden="false" customHeight="false" outlineLevel="0" collapsed="false">
      <c r="A501" s="19" t="s">
        <v>624</v>
      </c>
      <c r="B501" s="22" t="n">
        <v>140</v>
      </c>
      <c r="C501" s="19" t="n">
        <v>18</v>
      </c>
      <c r="D501" s="23" t="n">
        <v>5.16</v>
      </c>
      <c r="E501" s="19" t="s">
        <v>135</v>
      </c>
      <c r="F501" s="19" t="s">
        <v>136</v>
      </c>
      <c r="G501" s="19" t="s">
        <v>265</v>
      </c>
      <c r="H501" s="19"/>
      <c r="I501" s="24" t="n">
        <f aca="false">IF(AND(ISNUMBER(B501),ISNUMBER(D501)),B501*D501,0)</f>
        <v>722.4</v>
      </c>
    </row>
    <row r="502" customFormat="false" ht="15" hidden="false" customHeight="false" outlineLevel="0" collapsed="false">
      <c r="A502" s="19" t="s">
        <v>625</v>
      </c>
      <c r="B502" s="22" t="n">
        <v>140</v>
      </c>
      <c r="C502" s="19" t="n">
        <v>21</v>
      </c>
      <c r="D502" s="23" t="n">
        <v>0</v>
      </c>
      <c r="E502" s="19" t="s">
        <v>145</v>
      </c>
      <c r="F502" s="19" t="s">
        <v>136</v>
      </c>
      <c r="G502" s="19" t="s">
        <v>265</v>
      </c>
      <c r="H502" s="19"/>
      <c r="I502" s="24" t="n">
        <f aca="false">IF(AND(ISNUMBER(B502),ISNUMBER(D502)),B502*D502,0)</f>
        <v>0</v>
      </c>
    </row>
    <row r="503" customFormat="false" ht="15" hidden="false" customHeight="false" outlineLevel="0" collapsed="false">
      <c r="A503" s="19" t="s">
        <v>626</v>
      </c>
      <c r="B503" s="22" t="n">
        <v>140</v>
      </c>
      <c r="C503" s="19" t="n">
        <v>25</v>
      </c>
      <c r="D503" s="23" t="n">
        <v>0</v>
      </c>
      <c r="E503" s="19" t="s">
        <v>145</v>
      </c>
      <c r="F503" s="19" t="s">
        <v>136</v>
      </c>
      <c r="G503" s="19" t="s">
        <v>265</v>
      </c>
      <c r="H503" s="19"/>
      <c r="I503" s="24" t="n">
        <f aca="false">IF(AND(ISNUMBER(B503),ISNUMBER(D503)),B503*D503,0)</f>
        <v>0</v>
      </c>
    </row>
    <row r="504" customFormat="false" ht="15" hidden="false" customHeight="false" outlineLevel="0" collapsed="false">
      <c r="A504" s="19" t="s">
        <v>627</v>
      </c>
      <c r="B504" s="22" t="n">
        <v>140</v>
      </c>
      <c r="C504" s="19" t="n">
        <v>16</v>
      </c>
      <c r="D504" s="23" t="n">
        <v>0</v>
      </c>
      <c r="E504" s="19" t="s">
        <v>145</v>
      </c>
      <c r="F504" s="19" t="s">
        <v>136</v>
      </c>
      <c r="G504" s="19" t="s">
        <v>265</v>
      </c>
      <c r="H504" s="19"/>
      <c r="I504" s="24" t="n">
        <f aca="false">IF(AND(ISNUMBER(B504),ISNUMBER(D504)),B504*D504,0)</f>
        <v>0</v>
      </c>
    </row>
    <row r="505" customFormat="false" ht="15" hidden="false" customHeight="false" outlineLevel="0" collapsed="false">
      <c r="A505" s="19" t="s">
        <v>628</v>
      </c>
      <c r="B505" s="22" t="n">
        <v>140</v>
      </c>
      <c r="C505" s="19" t="n">
        <v>20</v>
      </c>
      <c r="D505" s="23" t="n">
        <v>0</v>
      </c>
      <c r="E505" s="19" t="s">
        <v>145</v>
      </c>
      <c r="F505" s="19" t="s">
        <v>136</v>
      </c>
      <c r="G505" s="19" t="s">
        <v>265</v>
      </c>
      <c r="H505" s="19"/>
      <c r="I505" s="24" t="n">
        <f aca="false">IF(AND(ISNUMBER(B505),ISNUMBER(D505)),B505*D505,0)</f>
        <v>0</v>
      </c>
    </row>
    <row r="506" customFormat="false" ht="15" hidden="false" customHeight="false" outlineLevel="0" collapsed="false">
      <c r="A506" s="19" t="s">
        <v>629</v>
      </c>
      <c r="B506" s="22" t="n">
        <v>140</v>
      </c>
      <c r="C506" s="19" t="n">
        <v>24</v>
      </c>
      <c r="D506" s="23" t="n">
        <v>0</v>
      </c>
      <c r="E506" s="19" t="s">
        <v>135</v>
      </c>
      <c r="F506" s="19" t="s">
        <v>136</v>
      </c>
      <c r="G506" s="19" t="s">
        <v>265</v>
      </c>
      <c r="H506" s="19"/>
      <c r="I506" s="24" t="n">
        <f aca="false">IF(AND(ISNUMBER(B506),ISNUMBER(D506)),B506*D506,0)</f>
        <v>0</v>
      </c>
    </row>
    <row r="507" customFormat="false" ht="15" hidden="false" customHeight="false" outlineLevel="0" collapsed="false">
      <c r="A507" s="19" t="s">
        <v>630</v>
      </c>
      <c r="B507" s="22" t="n">
        <v>140</v>
      </c>
      <c r="C507" s="19" t="n">
        <v>11</v>
      </c>
      <c r="D507" s="23" t="n">
        <v>0.66</v>
      </c>
      <c r="E507" s="19" t="s">
        <v>135</v>
      </c>
      <c r="F507" s="19" t="s">
        <v>136</v>
      </c>
      <c r="G507" s="19" t="s">
        <v>265</v>
      </c>
      <c r="H507" s="19"/>
      <c r="I507" s="24" t="n">
        <f aca="false">IF(AND(ISNUMBER(B507),ISNUMBER(D507)),B507*D507,0)</f>
        <v>92.4</v>
      </c>
    </row>
    <row r="508" customFormat="false" ht="15" hidden="false" customHeight="false" outlineLevel="0" collapsed="false">
      <c r="A508" s="19" t="s">
        <v>631</v>
      </c>
      <c r="B508" s="22" t="n">
        <v>140</v>
      </c>
      <c r="C508" s="19" t="n">
        <v>5</v>
      </c>
      <c r="D508" s="23" t="n">
        <v>0.42</v>
      </c>
      <c r="E508" s="19" t="s">
        <v>145</v>
      </c>
      <c r="F508" s="19" t="s">
        <v>136</v>
      </c>
      <c r="G508" s="19" t="s">
        <v>265</v>
      </c>
      <c r="H508" s="19"/>
      <c r="I508" s="24" t="n">
        <f aca="false">IF(AND(ISNUMBER(B508),ISNUMBER(D508)),B508*D508,0)</f>
        <v>58.8</v>
      </c>
    </row>
    <row r="509" customFormat="false" ht="15" hidden="false" customHeight="false" outlineLevel="0" collapsed="false">
      <c r="A509" s="19" t="s">
        <v>632</v>
      </c>
      <c r="B509" s="22" t="n">
        <v>140</v>
      </c>
      <c r="C509" s="19" t="n">
        <v>21</v>
      </c>
      <c r="D509" s="23" t="n">
        <v>1.14</v>
      </c>
      <c r="E509" s="19" t="s">
        <v>145</v>
      </c>
      <c r="F509" s="19" t="s">
        <v>136</v>
      </c>
      <c r="G509" s="19" t="s">
        <v>265</v>
      </c>
      <c r="H509" s="19"/>
      <c r="I509" s="24" t="n">
        <f aca="false">IF(AND(ISNUMBER(B509),ISNUMBER(D509)),B509*D509,0)</f>
        <v>159.6</v>
      </c>
    </row>
    <row r="510" customFormat="false" ht="15" hidden="false" customHeight="false" outlineLevel="0" collapsed="false">
      <c r="A510" s="19" t="s">
        <v>633</v>
      </c>
      <c r="B510" s="22" t="n">
        <v>140</v>
      </c>
      <c r="C510" s="19" t="n">
        <v>7</v>
      </c>
      <c r="D510" s="23" t="n">
        <v>1.14</v>
      </c>
      <c r="E510" s="19" t="s">
        <v>145</v>
      </c>
      <c r="F510" s="19" t="s">
        <v>136</v>
      </c>
      <c r="G510" s="19" t="s">
        <v>265</v>
      </c>
      <c r="H510" s="19"/>
      <c r="I510" s="24" t="n">
        <f aca="false">IF(AND(ISNUMBER(B510),ISNUMBER(D510)),B510*D510,0)</f>
        <v>159.6</v>
      </c>
    </row>
    <row r="511" customFormat="false" ht="15" hidden="false" customHeight="false" outlineLevel="0" collapsed="false">
      <c r="A511" s="19" t="s">
        <v>634</v>
      </c>
      <c r="B511" s="22" t="n">
        <v>110</v>
      </c>
      <c r="C511" s="19" t="n">
        <v>17</v>
      </c>
      <c r="D511" s="23" t="n">
        <v>0</v>
      </c>
      <c r="E511" s="19" t="s">
        <v>168</v>
      </c>
      <c r="F511" s="19" t="s">
        <v>140</v>
      </c>
      <c r="G511" s="19" t="s">
        <v>265</v>
      </c>
      <c r="H511" s="19"/>
      <c r="I511" s="24" t="n">
        <f aca="false">IF(AND(ISNUMBER(B511),ISNUMBER(D511)),B511*D511,0)</f>
        <v>0</v>
      </c>
    </row>
    <row r="512" customFormat="false" ht="15" hidden="false" customHeight="false" outlineLevel="0" collapsed="false">
      <c r="A512" s="19" t="s">
        <v>635</v>
      </c>
      <c r="B512" s="22" t="n">
        <v>110</v>
      </c>
      <c r="C512" s="19" t="n">
        <v>27</v>
      </c>
      <c r="D512" s="23" t="n">
        <v>0</v>
      </c>
      <c r="E512" s="19" t="s">
        <v>185</v>
      </c>
      <c r="F512" s="19" t="s">
        <v>140</v>
      </c>
      <c r="G512" s="19" t="s">
        <v>265</v>
      </c>
      <c r="H512" s="19"/>
      <c r="I512" s="24" t="n">
        <f aca="false">IF(AND(ISNUMBER(B512),ISNUMBER(D512)),B512*D512,0)</f>
        <v>0</v>
      </c>
    </row>
    <row r="513" customFormat="false" ht="15" hidden="false" customHeight="false" outlineLevel="0" collapsed="false">
      <c r="A513" s="19" t="s">
        <v>636</v>
      </c>
      <c r="B513" s="22" t="n">
        <v>110</v>
      </c>
      <c r="C513" s="19" t="n">
        <v>27</v>
      </c>
      <c r="D513" s="23" t="n">
        <v>0.5</v>
      </c>
      <c r="E513" s="19" t="s">
        <v>168</v>
      </c>
      <c r="F513" s="19" t="s">
        <v>140</v>
      </c>
      <c r="G513" s="19" t="s">
        <v>265</v>
      </c>
      <c r="H513" s="19"/>
      <c r="I513" s="24" t="n">
        <f aca="false">IF(AND(ISNUMBER(B513),ISNUMBER(D513)),B513*D513,0)</f>
        <v>55</v>
      </c>
    </row>
    <row r="514" customFormat="false" ht="15" hidden="false" customHeight="false" outlineLevel="0" collapsed="false">
      <c r="A514" s="19" t="s">
        <v>637</v>
      </c>
      <c r="B514" s="22" t="n">
        <v>110</v>
      </c>
      <c r="C514" s="19" t="n">
        <v>17</v>
      </c>
      <c r="D514" s="23" t="n">
        <v>0</v>
      </c>
      <c r="E514" s="19" t="s">
        <v>284</v>
      </c>
      <c r="F514" s="19" t="s">
        <v>140</v>
      </c>
      <c r="G514" s="19" t="s">
        <v>265</v>
      </c>
      <c r="H514" s="19"/>
      <c r="I514" s="24" t="n">
        <f aca="false">IF(AND(ISNUMBER(B514),ISNUMBER(D514)),B514*D514,0)</f>
        <v>0</v>
      </c>
    </row>
    <row r="515" customFormat="false" ht="15" hidden="false" customHeight="false" outlineLevel="0" collapsed="false">
      <c r="A515" s="19" t="s">
        <v>638</v>
      </c>
      <c r="B515" s="22" t="n">
        <v>110</v>
      </c>
      <c r="C515" s="19" t="n">
        <v>16</v>
      </c>
      <c r="D515" s="23" t="n">
        <v>0</v>
      </c>
      <c r="E515" s="19" t="s">
        <v>185</v>
      </c>
      <c r="F515" s="19" t="s">
        <v>140</v>
      </c>
      <c r="G515" s="19" t="s">
        <v>265</v>
      </c>
      <c r="H515" s="19"/>
      <c r="I515" s="24" t="n">
        <f aca="false">IF(AND(ISNUMBER(B515),ISNUMBER(D515)),B515*D515,0)</f>
        <v>0</v>
      </c>
    </row>
    <row r="516" customFormat="false" ht="15" hidden="false" customHeight="false" outlineLevel="0" collapsed="false">
      <c r="A516" s="19" t="s">
        <v>639</v>
      </c>
      <c r="B516" s="22" t="n">
        <v>110</v>
      </c>
      <c r="C516" s="19" t="n">
        <v>17</v>
      </c>
      <c r="D516" s="23" t="n">
        <v>0</v>
      </c>
      <c r="E516" s="19" t="s">
        <v>185</v>
      </c>
      <c r="F516" s="19" t="s">
        <v>140</v>
      </c>
      <c r="G516" s="19" t="s">
        <v>265</v>
      </c>
      <c r="H516" s="19"/>
      <c r="I516" s="24" t="n">
        <f aca="false">IF(AND(ISNUMBER(B516),ISNUMBER(D516)),B516*D516,0)</f>
        <v>0</v>
      </c>
    </row>
    <row r="517" customFormat="false" ht="15" hidden="false" customHeight="false" outlineLevel="0" collapsed="false">
      <c r="A517" s="19" t="s">
        <v>640</v>
      </c>
      <c r="B517" s="22" t="n">
        <v>110</v>
      </c>
      <c r="C517" s="19" t="n">
        <v>6</v>
      </c>
      <c r="D517" s="23" t="n">
        <v>0.61</v>
      </c>
      <c r="E517" s="19" t="s">
        <v>135</v>
      </c>
      <c r="F517" s="19" t="s">
        <v>140</v>
      </c>
      <c r="G517" s="19" t="s">
        <v>265</v>
      </c>
      <c r="H517" s="19"/>
      <c r="I517" s="24" t="n">
        <f aca="false">IF(AND(ISNUMBER(B517),ISNUMBER(D517)),B517*D517,0)</f>
        <v>67.1</v>
      </c>
    </row>
    <row r="518" customFormat="false" ht="15" hidden="false" customHeight="false" outlineLevel="0" collapsed="false">
      <c r="A518" s="19" t="s">
        <v>641</v>
      </c>
      <c r="B518" s="22" t="n">
        <v>110</v>
      </c>
      <c r="C518" s="19" t="n">
        <v>20</v>
      </c>
      <c r="D518" s="23" t="n">
        <v>0.61</v>
      </c>
      <c r="E518" s="19" t="s">
        <v>135</v>
      </c>
      <c r="F518" s="19" t="s">
        <v>140</v>
      </c>
      <c r="G518" s="19" t="s">
        <v>265</v>
      </c>
      <c r="H518" s="19"/>
      <c r="I518" s="24" t="n">
        <f aca="false">IF(AND(ISNUMBER(B518),ISNUMBER(D518)),B518*D518,0)</f>
        <v>67.1</v>
      </c>
    </row>
    <row r="519" customFormat="false" ht="15" hidden="false" customHeight="false" outlineLevel="0" collapsed="false">
      <c r="A519" s="19" t="s">
        <v>642</v>
      </c>
      <c r="B519" s="22" t="n">
        <v>110</v>
      </c>
      <c r="C519" s="19" t="n">
        <v>26</v>
      </c>
      <c r="D519" s="23" t="n">
        <v>1.36</v>
      </c>
      <c r="E519" s="19" t="s">
        <v>145</v>
      </c>
      <c r="F519" s="19" t="s">
        <v>140</v>
      </c>
      <c r="G519" s="19" t="s">
        <v>265</v>
      </c>
      <c r="H519" s="19"/>
      <c r="I519" s="24" t="n">
        <f aca="false">IF(AND(ISNUMBER(B519),ISNUMBER(D519)),B519*D519,0)</f>
        <v>149.6</v>
      </c>
    </row>
    <row r="520" customFormat="false" ht="15" hidden="false" customHeight="false" outlineLevel="0" collapsed="false">
      <c r="A520" s="19" t="s">
        <v>643</v>
      </c>
      <c r="B520" s="22" t="n">
        <v>110</v>
      </c>
      <c r="C520" s="19" t="n">
        <v>23</v>
      </c>
      <c r="D520" s="23" t="n">
        <v>1.66</v>
      </c>
      <c r="E520" s="19" t="s">
        <v>135</v>
      </c>
      <c r="F520" s="19" t="s">
        <v>140</v>
      </c>
      <c r="G520" s="19" t="s">
        <v>265</v>
      </c>
      <c r="H520" s="19"/>
      <c r="I520" s="24" t="n">
        <f aca="false">IF(AND(ISNUMBER(B520),ISNUMBER(D520)),B520*D520,0)</f>
        <v>182.6</v>
      </c>
    </row>
    <row r="521" customFormat="false" ht="15" hidden="false" customHeight="false" outlineLevel="0" collapsed="false">
      <c r="A521" s="19" t="s">
        <v>644</v>
      </c>
      <c r="B521" s="22" t="n">
        <v>110</v>
      </c>
      <c r="C521" s="19" t="n">
        <v>26</v>
      </c>
      <c r="D521" s="23" t="n">
        <v>0.32</v>
      </c>
      <c r="E521" s="19" t="s">
        <v>135</v>
      </c>
      <c r="F521" s="19" t="s">
        <v>140</v>
      </c>
      <c r="G521" s="19" t="s">
        <v>265</v>
      </c>
      <c r="H521" s="19"/>
      <c r="I521" s="24" t="n">
        <f aca="false">IF(AND(ISNUMBER(B521),ISNUMBER(D521)),B521*D521,0)</f>
        <v>35.2</v>
      </c>
    </row>
    <row r="522" customFormat="false" ht="15" hidden="false" customHeight="false" outlineLevel="0" collapsed="false">
      <c r="A522" s="19" t="s">
        <v>645</v>
      </c>
      <c r="B522" s="22" t="n">
        <v>110</v>
      </c>
      <c r="C522" s="19" t="n">
        <v>23</v>
      </c>
      <c r="D522" s="23" t="n">
        <v>0</v>
      </c>
      <c r="E522" s="19" t="s">
        <v>145</v>
      </c>
      <c r="F522" s="19" t="s">
        <v>140</v>
      </c>
      <c r="G522" s="19" t="s">
        <v>265</v>
      </c>
      <c r="H522" s="19"/>
      <c r="I522" s="24" t="n">
        <f aca="false">IF(AND(ISNUMBER(B522),ISNUMBER(D522)),B522*D522,0)</f>
        <v>0</v>
      </c>
    </row>
    <row r="523" customFormat="false" ht="15" hidden="false" customHeight="false" outlineLevel="0" collapsed="false">
      <c r="A523" s="19" t="s">
        <v>646</v>
      </c>
      <c r="B523" s="22" t="n">
        <v>110</v>
      </c>
      <c r="C523" s="19" t="n">
        <v>23</v>
      </c>
      <c r="D523" s="23" t="n">
        <v>0.61</v>
      </c>
      <c r="E523" s="19" t="s">
        <v>145</v>
      </c>
      <c r="F523" s="19" t="s">
        <v>140</v>
      </c>
      <c r="G523" s="19" t="s">
        <v>265</v>
      </c>
      <c r="H523" s="19"/>
      <c r="I523" s="24" t="n">
        <f aca="false">IF(AND(ISNUMBER(B523),ISNUMBER(D523)),B523*D523,0)</f>
        <v>67.1</v>
      </c>
    </row>
    <row r="524" customFormat="false" ht="15" hidden="false" customHeight="false" outlineLevel="0" collapsed="false">
      <c r="A524" s="19" t="s">
        <v>647</v>
      </c>
      <c r="B524" s="22" t="n">
        <v>110</v>
      </c>
      <c r="C524" s="19" t="n">
        <v>19</v>
      </c>
      <c r="D524" s="23" t="n">
        <v>0.61</v>
      </c>
      <c r="E524" s="19" t="s">
        <v>145</v>
      </c>
      <c r="F524" s="19" t="s">
        <v>140</v>
      </c>
      <c r="G524" s="19" t="s">
        <v>265</v>
      </c>
      <c r="H524" s="19"/>
      <c r="I524" s="24" t="n">
        <f aca="false">IF(AND(ISNUMBER(B524),ISNUMBER(D524)),B524*D524,0)</f>
        <v>67.1</v>
      </c>
    </row>
    <row r="525" customFormat="false" ht="15" hidden="false" customHeight="false" outlineLevel="0" collapsed="false">
      <c r="A525" s="19" t="s">
        <v>648</v>
      </c>
      <c r="B525" s="22" t="n">
        <v>110</v>
      </c>
      <c r="C525" s="19" t="n">
        <v>23</v>
      </c>
      <c r="D525" s="23" t="n">
        <v>0.61</v>
      </c>
      <c r="E525" s="19" t="s">
        <v>145</v>
      </c>
      <c r="F525" s="19" t="s">
        <v>140</v>
      </c>
      <c r="G525" s="19" t="s">
        <v>265</v>
      </c>
      <c r="H525" s="19"/>
      <c r="I525" s="24" t="n">
        <f aca="false">IF(AND(ISNUMBER(B525),ISNUMBER(D525)),B525*D525,0)</f>
        <v>67.1</v>
      </c>
    </row>
    <row r="526" customFormat="false" ht="15" hidden="false" customHeight="false" outlineLevel="0" collapsed="false">
      <c r="A526" s="19" t="s">
        <v>649</v>
      </c>
      <c r="B526" s="22" t="n">
        <v>110</v>
      </c>
      <c r="C526" s="19" t="n">
        <v>27</v>
      </c>
      <c r="D526" s="23" t="n">
        <v>0</v>
      </c>
      <c r="E526" s="19" t="s">
        <v>145</v>
      </c>
      <c r="F526" s="19" t="s">
        <v>140</v>
      </c>
      <c r="G526" s="19" t="s">
        <v>265</v>
      </c>
      <c r="H526" s="19"/>
      <c r="I526" s="24" t="n">
        <f aca="false">IF(AND(ISNUMBER(B526),ISNUMBER(D526)),B526*D526,0)</f>
        <v>0</v>
      </c>
    </row>
    <row r="527" customFormat="false" ht="15" hidden="false" customHeight="false" outlineLevel="0" collapsed="false">
      <c r="A527" s="19" t="s">
        <v>650</v>
      </c>
      <c r="B527" s="22" t="n">
        <v>110</v>
      </c>
      <c r="C527" s="19" t="n">
        <v>9</v>
      </c>
      <c r="D527" s="23" t="n">
        <v>0.36</v>
      </c>
      <c r="E527" s="19" t="s">
        <v>168</v>
      </c>
      <c r="F527" s="19" t="s">
        <v>161</v>
      </c>
      <c r="G527" s="19" t="s">
        <v>265</v>
      </c>
      <c r="H527" s="19"/>
      <c r="I527" s="24" t="n">
        <f aca="false">IF(AND(ISNUMBER(B527),ISNUMBER(D527)),B527*D527,0)</f>
        <v>39.6</v>
      </c>
    </row>
    <row r="528" customFormat="false" ht="15" hidden="false" customHeight="false" outlineLevel="0" collapsed="false">
      <c r="A528" s="19" t="s">
        <v>651</v>
      </c>
      <c r="B528" s="22" t="n">
        <v>110</v>
      </c>
      <c r="C528" s="19" t="n">
        <v>26</v>
      </c>
      <c r="D528" s="23" t="n">
        <v>0.35</v>
      </c>
      <c r="E528" s="19" t="s">
        <v>168</v>
      </c>
      <c r="F528" s="19" t="s">
        <v>161</v>
      </c>
      <c r="G528" s="19" t="s">
        <v>265</v>
      </c>
      <c r="H528" s="19"/>
      <c r="I528" s="24" t="n">
        <f aca="false">IF(AND(ISNUMBER(B528),ISNUMBER(D528)),B528*D528,0)</f>
        <v>38.5</v>
      </c>
    </row>
    <row r="529" customFormat="false" ht="15" hidden="false" customHeight="false" outlineLevel="0" collapsed="false">
      <c r="A529" s="19" t="s">
        <v>652</v>
      </c>
      <c r="B529" s="22" t="n">
        <v>110</v>
      </c>
      <c r="C529" s="19" t="n">
        <v>24</v>
      </c>
      <c r="D529" s="23" t="n">
        <v>0</v>
      </c>
      <c r="E529" s="19" t="s">
        <v>168</v>
      </c>
      <c r="F529" s="19" t="s">
        <v>161</v>
      </c>
      <c r="G529" s="19" t="s">
        <v>265</v>
      </c>
      <c r="H529" s="19"/>
      <c r="I529" s="24" t="n">
        <f aca="false">IF(AND(ISNUMBER(B529),ISNUMBER(D529)),B529*D529,0)</f>
        <v>0</v>
      </c>
    </row>
    <row r="530" customFormat="false" ht="15" hidden="false" customHeight="false" outlineLevel="0" collapsed="false">
      <c r="A530" s="19" t="s">
        <v>653</v>
      </c>
      <c r="B530" s="22" t="n">
        <v>110</v>
      </c>
      <c r="C530" s="19" t="n">
        <v>23</v>
      </c>
      <c r="D530" s="23" t="n">
        <v>0.55</v>
      </c>
      <c r="E530" s="19" t="s">
        <v>290</v>
      </c>
      <c r="F530" s="19" t="s">
        <v>161</v>
      </c>
      <c r="G530" s="19" t="s">
        <v>265</v>
      </c>
      <c r="H530" s="19"/>
      <c r="I530" s="24" t="n">
        <f aca="false">IF(AND(ISNUMBER(B530),ISNUMBER(D530)),B530*D530,0)</f>
        <v>60.5</v>
      </c>
    </row>
    <row r="531" customFormat="false" ht="15" hidden="false" customHeight="false" outlineLevel="0" collapsed="false">
      <c r="A531" s="19" t="s">
        <v>654</v>
      </c>
      <c r="B531" s="22" t="n">
        <v>110</v>
      </c>
      <c r="C531" s="19" t="n">
        <v>29</v>
      </c>
      <c r="D531" s="23" t="n">
        <v>0.71</v>
      </c>
      <c r="E531" s="19" t="s">
        <v>185</v>
      </c>
      <c r="F531" s="19" t="s">
        <v>161</v>
      </c>
      <c r="G531" s="19" t="s">
        <v>265</v>
      </c>
      <c r="H531" s="19"/>
      <c r="I531" s="24" t="n">
        <f aca="false">IF(AND(ISNUMBER(B531),ISNUMBER(D531)),B531*D531,0)</f>
        <v>78.1</v>
      </c>
    </row>
    <row r="532" customFormat="false" ht="15" hidden="false" customHeight="false" outlineLevel="0" collapsed="false">
      <c r="A532" s="19" t="s">
        <v>655</v>
      </c>
      <c r="B532" s="22" t="n">
        <v>110</v>
      </c>
      <c r="C532" s="19" t="n">
        <v>25</v>
      </c>
      <c r="D532" s="23" t="n">
        <v>0.33</v>
      </c>
      <c r="E532" s="19" t="s">
        <v>290</v>
      </c>
      <c r="F532" s="19" t="s">
        <v>161</v>
      </c>
      <c r="G532" s="19" t="s">
        <v>265</v>
      </c>
      <c r="H532" s="19"/>
      <c r="I532" s="24" t="n">
        <f aca="false">IF(AND(ISNUMBER(B532),ISNUMBER(D532)),B532*D532,0)</f>
        <v>36.3</v>
      </c>
    </row>
    <row r="533" customFormat="false" ht="15" hidden="false" customHeight="false" outlineLevel="0" collapsed="false">
      <c r="A533" s="19" t="s">
        <v>656</v>
      </c>
      <c r="B533" s="22" t="n">
        <v>110</v>
      </c>
      <c r="C533" s="19" t="n">
        <v>16</v>
      </c>
      <c r="D533" s="23" t="n">
        <v>2.01</v>
      </c>
      <c r="E533" s="19" t="s">
        <v>185</v>
      </c>
      <c r="F533" s="19" t="s">
        <v>161</v>
      </c>
      <c r="G533" s="19" t="s">
        <v>265</v>
      </c>
      <c r="H533" s="19"/>
      <c r="I533" s="24" t="n">
        <f aca="false">IF(AND(ISNUMBER(B533),ISNUMBER(D533)),B533*D533,0)</f>
        <v>221.1</v>
      </c>
    </row>
    <row r="534" customFormat="false" ht="15" hidden="false" customHeight="false" outlineLevel="0" collapsed="false">
      <c r="A534" s="19" t="s">
        <v>657</v>
      </c>
      <c r="B534" s="22" t="n">
        <v>110</v>
      </c>
      <c r="C534" s="19" t="n">
        <v>19</v>
      </c>
      <c r="D534" s="23" t="n">
        <v>0</v>
      </c>
      <c r="E534" s="19" t="s">
        <v>185</v>
      </c>
      <c r="F534" s="19" t="s">
        <v>161</v>
      </c>
      <c r="G534" s="19" t="s">
        <v>265</v>
      </c>
      <c r="H534" s="19"/>
      <c r="I534" s="24" t="n">
        <f aca="false">IF(AND(ISNUMBER(B534),ISNUMBER(D534)),B534*D534,0)</f>
        <v>0</v>
      </c>
    </row>
    <row r="535" customFormat="false" ht="15" hidden="false" customHeight="false" outlineLevel="0" collapsed="false">
      <c r="A535" s="19" t="s">
        <v>658</v>
      </c>
      <c r="B535" s="22" t="n">
        <v>110</v>
      </c>
      <c r="C535" s="19" t="n">
        <v>10</v>
      </c>
      <c r="D535" s="23" t="n">
        <v>0.84</v>
      </c>
      <c r="E535" s="19" t="s">
        <v>168</v>
      </c>
      <c r="F535" s="19" t="s">
        <v>161</v>
      </c>
      <c r="G535" s="19" t="s">
        <v>265</v>
      </c>
      <c r="H535" s="19"/>
      <c r="I535" s="24" t="n">
        <f aca="false">IF(AND(ISNUMBER(B535),ISNUMBER(D535)),B535*D535,0)</f>
        <v>92.4</v>
      </c>
    </row>
    <row r="536" customFormat="false" ht="15" hidden="false" customHeight="false" outlineLevel="0" collapsed="false">
      <c r="A536" s="19" t="s">
        <v>659</v>
      </c>
      <c r="B536" s="22" t="n">
        <v>110</v>
      </c>
      <c r="C536" s="19" t="n">
        <v>16</v>
      </c>
      <c r="D536" s="23" t="n">
        <v>0</v>
      </c>
      <c r="E536" s="19" t="s">
        <v>168</v>
      </c>
      <c r="F536" s="19" t="s">
        <v>161</v>
      </c>
      <c r="G536" s="19" t="s">
        <v>265</v>
      </c>
      <c r="H536" s="19"/>
      <c r="I536" s="24" t="n">
        <f aca="false">IF(AND(ISNUMBER(B536),ISNUMBER(D536)),B536*D536,0)</f>
        <v>0</v>
      </c>
    </row>
    <row r="537" customFormat="false" ht="15" hidden="false" customHeight="false" outlineLevel="0" collapsed="false">
      <c r="A537" s="19" t="s">
        <v>660</v>
      </c>
      <c r="B537" s="22" t="n">
        <v>110</v>
      </c>
      <c r="C537" s="19" t="n">
        <v>27</v>
      </c>
      <c r="D537" s="23" t="n">
        <v>0</v>
      </c>
      <c r="E537" s="19" t="s">
        <v>168</v>
      </c>
      <c r="F537" s="19" t="s">
        <v>161</v>
      </c>
      <c r="G537" s="19" t="s">
        <v>265</v>
      </c>
      <c r="H537" s="19"/>
      <c r="I537" s="24" t="n">
        <f aca="false">IF(AND(ISNUMBER(B537),ISNUMBER(D537)),B537*D537,0)</f>
        <v>0</v>
      </c>
    </row>
    <row r="538" customFormat="false" ht="15" hidden="false" customHeight="false" outlineLevel="0" collapsed="false">
      <c r="A538" s="19" t="s">
        <v>661</v>
      </c>
      <c r="B538" s="22" t="n">
        <v>110</v>
      </c>
      <c r="C538" s="19" t="n">
        <v>23</v>
      </c>
      <c r="D538" s="23" t="n">
        <v>0.26</v>
      </c>
      <c r="E538" s="19" t="s">
        <v>284</v>
      </c>
      <c r="F538" s="19" t="s">
        <v>161</v>
      </c>
      <c r="G538" s="19" t="s">
        <v>265</v>
      </c>
      <c r="H538" s="19"/>
      <c r="I538" s="24" t="n">
        <f aca="false">IF(AND(ISNUMBER(B538),ISNUMBER(D538)),B538*D538,0)</f>
        <v>28.6</v>
      </c>
    </row>
    <row r="539" customFormat="false" ht="15" hidden="false" customHeight="false" outlineLevel="0" collapsed="false">
      <c r="A539" s="19" t="s">
        <v>662</v>
      </c>
      <c r="B539" s="22" t="n">
        <v>110</v>
      </c>
      <c r="C539" s="19" t="n">
        <v>25</v>
      </c>
      <c r="D539" s="23" t="n">
        <v>5.23</v>
      </c>
      <c r="E539" s="19" t="s">
        <v>145</v>
      </c>
      <c r="F539" s="19" t="s">
        <v>161</v>
      </c>
      <c r="G539" s="19" t="s">
        <v>265</v>
      </c>
      <c r="H539" s="19"/>
      <c r="I539" s="24" t="n">
        <f aca="false">IF(AND(ISNUMBER(B539),ISNUMBER(D539)),B539*D539,0)</f>
        <v>575.3</v>
      </c>
    </row>
    <row r="540" customFormat="false" ht="15" hidden="false" customHeight="false" outlineLevel="0" collapsed="false">
      <c r="A540" s="19" t="s">
        <v>663</v>
      </c>
      <c r="B540" s="22" t="n">
        <v>110</v>
      </c>
      <c r="C540" s="19" t="n">
        <v>25</v>
      </c>
      <c r="D540" s="23" t="n">
        <v>0.75</v>
      </c>
      <c r="E540" s="19" t="s">
        <v>135</v>
      </c>
      <c r="F540" s="19" t="s">
        <v>161</v>
      </c>
      <c r="G540" s="19" t="s">
        <v>265</v>
      </c>
      <c r="H540" s="19"/>
      <c r="I540" s="24" t="n">
        <f aca="false">IF(AND(ISNUMBER(B540),ISNUMBER(D540)),B540*D540,0)</f>
        <v>82.5</v>
      </c>
    </row>
    <row r="541" customFormat="false" ht="15" hidden="false" customHeight="false" outlineLevel="0" collapsed="false">
      <c r="A541" s="19" t="s">
        <v>664</v>
      </c>
      <c r="B541" s="22" t="n">
        <v>110</v>
      </c>
      <c r="C541" s="19" t="n">
        <v>21</v>
      </c>
      <c r="D541" s="23" t="n">
        <v>0.65</v>
      </c>
      <c r="E541" s="19" t="s">
        <v>175</v>
      </c>
      <c r="F541" s="19" t="s">
        <v>161</v>
      </c>
      <c r="G541" s="19" t="s">
        <v>265</v>
      </c>
      <c r="H541" s="19"/>
      <c r="I541" s="24" t="n">
        <f aca="false">IF(AND(ISNUMBER(B541),ISNUMBER(D541)),B541*D541,0)</f>
        <v>71.5</v>
      </c>
    </row>
    <row r="542" customFormat="false" ht="15" hidden="false" customHeight="false" outlineLevel="0" collapsed="false">
      <c r="A542" s="19" t="s">
        <v>665</v>
      </c>
      <c r="B542" s="22" t="n">
        <v>110</v>
      </c>
      <c r="C542" s="19" t="n">
        <v>20</v>
      </c>
      <c r="D542" s="23" t="n">
        <v>0.36</v>
      </c>
      <c r="E542" s="19" t="s">
        <v>145</v>
      </c>
      <c r="F542" s="19" t="s">
        <v>161</v>
      </c>
      <c r="G542" s="19" t="s">
        <v>265</v>
      </c>
      <c r="H542" s="19"/>
      <c r="I542" s="24" t="n">
        <f aca="false">IF(AND(ISNUMBER(B542),ISNUMBER(D542)),B542*D542,0)</f>
        <v>39.6</v>
      </c>
    </row>
    <row r="543" customFormat="false" ht="15" hidden="false" customHeight="false" outlineLevel="0" collapsed="false">
      <c r="A543" s="19" t="s">
        <v>666</v>
      </c>
      <c r="B543" s="22" t="n">
        <v>110</v>
      </c>
      <c r="C543" s="19" t="n">
        <v>23</v>
      </c>
      <c r="D543" s="23" t="n">
        <v>7.31</v>
      </c>
      <c r="E543" s="19" t="s">
        <v>135</v>
      </c>
      <c r="F543" s="19" t="s">
        <v>161</v>
      </c>
      <c r="G543" s="19" t="s">
        <v>265</v>
      </c>
      <c r="H543" s="19"/>
      <c r="I543" s="24" t="n">
        <f aca="false">IF(AND(ISNUMBER(B543),ISNUMBER(D543)),B543*D543,0)</f>
        <v>804.1</v>
      </c>
    </row>
    <row r="544" customFormat="false" ht="15" hidden="false" customHeight="false" outlineLevel="0" collapsed="false">
      <c r="A544" s="19" t="s">
        <v>667</v>
      </c>
      <c r="B544" s="22" t="n">
        <v>110</v>
      </c>
      <c r="C544" s="19" t="n">
        <v>20</v>
      </c>
      <c r="D544" s="23" t="n">
        <v>0.3</v>
      </c>
      <c r="E544" s="19" t="s">
        <v>145</v>
      </c>
      <c r="F544" s="19" t="s">
        <v>161</v>
      </c>
      <c r="G544" s="19" t="s">
        <v>265</v>
      </c>
      <c r="H544" s="19"/>
      <c r="I544" s="24" t="n">
        <f aca="false">IF(AND(ISNUMBER(B544),ISNUMBER(D544)),B544*D544,0)</f>
        <v>33</v>
      </c>
    </row>
    <row r="545" customFormat="false" ht="15" hidden="false" customHeight="false" outlineLevel="0" collapsed="false">
      <c r="A545" s="19" t="s">
        <v>668</v>
      </c>
      <c r="B545" s="22" t="n">
        <v>110</v>
      </c>
      <c r="C545" s="19" t="n">
        <v>24</v>
      </c>
      <c r="D545" s="23" t="n">
        <v>0.41</v>
      </c>
      <c r="E545" s="19" t="s">
        <v>135</v>
      </c>
      <c r="F545" s="19" t="s">
        <v>161</v>
      </c>
      <c r="G545" s="19" t="s">
        <v>265</v>
      </c>
      <c r="H545" s="19"/>
      <c r="I545" s="24" t="n">
        <f aca="false">IF(AND(ISNUMBER(B545),ISNUMBER(D545)),B545*D545,0)</f>
        <v>45.1</v>
      </c>
    </row>
    <row r="546" customFormat="false" ht="15" hidden="false" customHeight="false" outlineLevel="0" collapsed="false">
      <c r="A546" s="19" t="s">
        <v>669</v>
      </c>
      <c r="B546" s="22" t="n">
        <v>110</v>
      </c>
      <c r="C546" s="19" t="n">
        <v>21</v>
      </c>
      <c r="D546" s="23" t="n">
        <v>0.2</v>
      </c>
      <c r="E546" s="19" t="s">
        <v>145</v>
      </c>
      <c r="F546" s="19" t="s">
        <v>161</v>
      </c>
      <c r="G546" s="19" t="s">
        <v>265</v>
      </c>
      <c r="H546" s="19"/>
      <c r="I546" s="24" t="n">
        <f aca="false">IF(AND(ISNUMBER(B546),ISNUMBER(D546)),B546*D546,0)</f>
        <v>22</v>
      </c>
    </row>
    <row r="547" customFormat="false" ht="15" hidden="false" customHeight="false" outlineLevel="0" collapsed="false">
      <c r="A547" s="19" t="s">
        <v>670</v>
      </c>
      <c r="B547" s="22" t="n">
        <v>110</v>
      </c>
      <c r="C547" s="19" t="n">
        <v>29</v>
      </c>
      <c r="D547" s="23" t="n">
        <v>0.9</v>
      </c>
      <c r="E547" s="19" t="s">
        <v>135</v>
      </c>
      <c r="F547" s="19" t="s">
        <v>161</v>
      </c>
      <c r="G547" s="19" t="s">
        <v>265</v>
      </c>
      <c r="H547" s="19"/>
      <c r="I547" s="24" t="n">
        <f aca="false">IF(AND(ISNUMBER(B547),ISNUMBER(D547)),B547*D547,0)</f>
        <v>99</v>
      </c>
    </row>
    <row r="548" customFormat="false" ht="15" hidden="false" customHeight="false" outlineLevel="0" collapsed="false">
      <c r="A548" s="19" t="s">
        <v>671</v>
      </c>
      <c r="B548" s="22" t="n">
        <v>110</v>
      </c>
      <c r="C548" s="19" t="n">
        <v>26</v>
      </c>
      <c r="D548" s="23" t="n">
        <v>0</v>
      </c>
      <c r="E548" s="19" t="s">
        <v>145</v>
      </c>
      <c r="F548" s="19" t="s">
        <v>161</v>
      </c>
      <c r="G548" s="19" t="s">
        <v>265</v>
      </c>
      <c r="H548" s="19"/>
      <c r="I548" s="24" t="n">
        <f aca="false">IF(AND(ISNUMBER(B548),ISNUMBER(D548)),B548*D548,0)</f>
        <v>0</v>
      </c>
    </row>
    <row r="549" customFormat="false" ht="15" hidden="false" customHeight="false" outlineLevel="0" collapsed="false">
      <c r="A549" s="19" t="s">
        <v>672</v>
      </c>
      <c r="B549" s="22" t="n">
        <v>110</v>
      </c>
      <c r="C549" s="19" t="n">
        <v>9</v>
      </c>
      <c r="D549" s="23" t="n">
        <v>0.39</v>
      </c>
      <c r="E549" s="19" t="s">
        <v>135</v>
      </c>
      <c r="F549" s="19" t="s">
        <v>161</v>
      </c>
      <c r="G549" s="19" t="s">
        <v>265</v>
      </c>
      <c r="H549" s="19"/>
      <c r="I549" s="24" t="n">
        <f aca="false">IF(AND(ISNUMBER(B549),ISNUMBER(D549)),B549*D549,0)</f>
        <v>42.9</v>
      </c>
    </row>
    <row r="550" customFormat="false" ht="15" hidden="false" customHeight="false" outlineLevel="0" collapsed="false">
      <c r="A550" s="19" t="s">
        <v>673</v>
      </c>
      <c r="B550" s="22" t="n">
        <v>110</v>
      </c>
      <c r="C550" s="19" t="n">
        <v>13</v>
      </c>
      <c r="D550" s="23" t="n">
        <v>0.16</v>
      </c>
      <c r="E550" s="19" t="s">
        <v>135</v>
      </c>
      <c r="F550" s="19" t="s">
        <v>161</v>
      </c>
      <c r="G550" s="19" t="s">
        <v>265</v>
      </c>
      <c r="H550" s="19"/>
      <c r="I550" s="24" t="n">
        <f aca="false">IF(AND(ISNUMBER(B550),ISNUMBER(D550)),B550*D550,0)</f>
        <v>17.6</v>
      </c>
    </row>
    <row r="551" customFormat="false" ht="15" hidden="false" customHeight="false" outlineLevel="0" collapsed="false">
      <c r="A551" s="19" t="s">
        <v>674</v>
      </c>
      <c r="B551" s="22" t="n">
        <v>110</v>
      </c>
      <c r="C551" s="19" t="n">
        <v>26</v>
      </c>
      <c r="D551" s="23" t="n">
        <v>7.31</v>
      </c>
      <c r="E551" s="19" t="s">
        <v>135</v>
      </c>
      <c r="F551" s="19" t="s">
        <v>161</v>
      </c>
      <c r="G551" s="19" t="s">
        <v>265</v>
      </c>
      <c r="H551" s="19"/>
      <c r="I551" s="24" t="n">
        <f aca="false">IF(AND(ISNUMBER(B551),ISNUMBER(D551)),B551*D551,0)</f>
        <v>804.1</v>
      </c>
    </row>
    <row r="552" customFormat="false" ht="15" hidden="false" customHeight="false" outlineLevel="0" collapsed="false">
      <c r="A552" s="19" t="s">
        <v>675</v>
      </c>
      <c r="B552" s="22" t="n">
        <v>110</v>
      </c>
      <c r="C552" s="19" t="n">
        <v>15</v>
      </c>
      <c r="D552" s="23" t="n">
        <v>0</v>
      </c>
      <c r="E552" s="19" t="s">
        <v>157</v>
      </c>
      <c r="F552" s="19" t="s">
        <v>161</v>
      </c>
      <c r="G552" s="19" t="s">
        <v>265</v>
      </c>
      <c r="H552" s="19"/>
      <c r="I552" s="24" t="n">
        <f aca="false">IF(AND(ISNUMBER(B552),ISNUMBER(D552)),B552*D552,0)</f>
        <v>0</v>
      </c>
    </row>
    <row r="553" customFormat="false" ht="15" hidden="false" customHeight="false" outlineLevel="0" collapsed="false">
      <c r="A553" s="19" t="s">
        <v>676</v>
      </c>
      <c r="B553" s="22" t="n">
        <v>110</v>
      </c>
      <c r="C553" s="19" t="n">
        <v>19</v>
      </c>
      <c r="D553" s="23" t="n">
        <v>0</v>
      </c>
      <c r="E553" s="19" t="s">
        <v>135</v>
      </c>
      <c r="F553" s="19" t="s">
        <v>161</v>
      </c>
      <c r="G553" s="19" t="s">
        <v>265</v>
      </c>
      <c r="H553" s="19"/>
      <c r="I553" s="24" t="n">
        <f aca="false">IF(AND(ISNUMBER(B553),ISNUMBER(D553)),B553*D553,0)</f>
        <v>0</v>
      </c>
    </row>
    <row r="554" customFormat="false" ht="15" hidden="false" customHeight="false" outlineLevel="0" collapsed="false">
      <c r="A554" s="19" t="s">
        <v>677</v>
      </c>
      <c r="B554" s="22" t="n">
        <v>110</v>
      </c>
      <c r="C554" s="19" t="n">
        <v>23</v>
      </c>
      <c r="D554" s="23" t="n">
        <v>0</v>
      </c>
      <c r="E554" s="19" t="s">
        <v>145</v>
      </c>
      <c r="F554" s="19" t="s">
        <v>161</v>
      </c>
      <c r="G554" s="19" t="s">
        <v>265</v>
      </c>
      <c r="H554" s="19"/>
      <c r="I554" s="24" t="n">
        <f aca="false">IF(AND(ISNUMBER(B554),ISNUMBER(D554)),B554*D554,0)</f>
        <v>0</v>
      </c>
    </row>
    <row r="555" customFormat="false" ht="15" hidden="false" customHeight="false" outlineLevel="0" collapsed="false">
      <c r="A555" s="19" t="s">
        <v>678</v>
      </c>
      <c r="B555" s="22" t="n">
        <v>110</v>
      </c>
      <c r="C555" s="19" t="n">
        <v>20</v>
      </c>
      <c r="D555" s="23" t="n">
        <v>0</v>
      </c>
      <c r="E555" s="19" t="s">
        <v>145</v>
      </c>
      <c r="F555" s="19" t="s">
        <v>161</v>
      </c>
      <c r="G555" s="19" t="s">
        <v>265</v>
      </c>
      <c r="H555" s="19"/>
      <c r="I555" s="24" t="n">
        <f aca="false">IF(AND(ISNUMBER(B555),ISNUMBER(D555)),B555*D555,0)</f>
        <v>0</v>
      </c>
    </row>
    <row r="556" customFormat="false" ht="15" hidden="false" customHeight="false" outlineLevel="0" collapsed="false">
      <c r="A556" s="19" t="s">
        <v>679</v>
      </c>
      <c r="B556" s="22" t="n">
        <v>110</v>
      </c>
      <c r="C556" s="19" t="n">
        <v>13</v>
      </c>
      <c r="D556" s="23" t="n">
        <v>0.54</v>
      </c>
      <c r="E556" s="19" t="s">
        <v>135</v>
      </c>
      <c r="F556" s="19" t="s">
        <v>161</v>
      </c>
      <c r="G556" s="19" t="s">
        <v>265</v>
      </c>
      <c r="H556" s="19"/>
      <c r="I556" s="24" t="n">
        <f aca="false">IF(AND(ISNUMBER(B556),ISNUMBER(D556)),B556*D556,0)</f>
        <v>59.4</v>
      </c>
    </row>
    <row r="557" customFormat="false" ht="15" hidden="false" customHeight="false" outlineLevel="0" collapsed="false">
      <c r="A557" s="19" t="s">
        <v>680</v>
      </c>
      <c r="B557" s="22" t="n">
        <v>110</v>
      </c>
      <c r="C557" s="19" t="n">
        <v>13</v>
      </c>
      <c r="D557" s="23" t="n">
        <v>0.39</v>
      </c>
      <c r="E557" s="19" t="s">
        <v>145</v>
      </c>
      <c r="F557" s="19" t="s">
        <v>161</v>
      </c>
      <c r="G557" s="19" t="s">
        <v>265</v>
      </c>
      <c r="H557" s="19"/>
      <c r="I557" s="24" t="n">
        <f aca="false">IF(AND(ISNUMBER(B557),ISNUMBER(D557)),B557*D557,0)</f>
        <v>42.9</v>
      </c>
    </row>
    <row r="558" customFormat="false" ht="15" hidden="false" customHeight="false" outlineLevel="0" collapsed="false">
      <c r="A558" s="19" t="s">
        <v>681</v>
      </c>
      <c r="B558" s="22" t="n">
        <v>110</v>
      </c>
      <c r="C558" s="19" t="n">
        <v>16</v>
      </c>
      <c r="D558" s="23" t="n">
        <v>0.2</v>
      </c>
      <c r="E558" s="19" t="s">
        <v>145</v>
      </c>
      <c r="F558" s="19" t="s">
        <v>161</v>
      </c>
      <c r="G558" s="19" t="s">
        <v>265</v>
      </c>
      <c r="H558" s="19"/>
      <c r="I558" s="24" t="n">
        <f aca="false">IF(AND(ISNUMBER(B558),ISNUMBER(D558)),B558*D558,0)</f>
        <v>22</v>
      </c>
    </row>
    <row r="559" customFormat="false" ht="15" hidden="false" customHeight="false" outlineLevel="0" collapsed="false">
      <c r="A559" s="19" t="s">
        <v>682</v>
      </c>
      <c r="B559" s="22" t="n">
        <v>110</v>
      </c>
      <c r="C559" s="19" t="n">
        <v>25</v>
      </c>
      <c r="D559" s="23" t="n">
        <v>0.45</v>
      </c>
      <c r="E559" s="19" t="s">
        <v>135</v>
      </c>
      <c r="F559" s="19" t="s">
        <v>161</v>
      </c>
      <c r="G559" s="19" t="s">
        <v>265</v>
      </c>
      <c r="H559" s="19"/>
      <c r="I559" s="24" t="n">
        <f aca="false">IF(AND(ISNUMBER(B559),ISNUMBER(D559)),B559*D559,0)</f>
        <v>49.5</v>
      </c>
    </row>
    <row r="560" customFormat="false" ht="15" hidden="false" customHeight="false" outlineLevel="0" collapsed="false">
      <c r="A560" s="19" t="s">
        <v>683</v>
      </c>
      <c r="B560" s="22" t="n">
        <v>110</v>
      </c>
      <c r="C560" s="19" t="n">
        <v>27</v>
      </c>
      <c r="D560" s="23" t="n">
        <v>2.26</v>
      </c>
      <c r="E560" s="19" t="s">
        <v>135</v>
      </c>
      <c r="F560" s="19" t="s">
        <v>161</v>
      </c>
      <c r="G560" s="19" t="s">
        <v>265</v>
      </c>
      <c r="H560" s="19"/>
      <c r="I560" s="24" t="n">
        <f aca="false">IF(AND(ISNUMBER(B560),ISNUMBER(D560)),B560*D560,0)</f>
        <v>248.6</v>
      </c>
    </row>
    <row r="561" customFormat="false" ht="15" hidden="false" customHeight="false" outlineLevel="0" collapsed="false">
      <c r="A561" s="19" t="s">
        <v>684</v>
      </c>
      <c r="B561" s="22" t="n">
        <v>110</v>
      </c>
      <c r="C561" s="19" t="n">
        <v>16</v>
      </c>
      <c r="D561" s="23" t="n">
        <v>0.41</v>
      </c>
      <c r="E561" s="19" t="s">
        <v>135</v>
      </c>
      <c r="F561" s="19" t="s">
        <v>161</v>
      </c>
      <c r="G561" s="19" t="s">
        <v>265</v>
      </c>
      <c r="H561" s="19"/>
      <c r="I561" s="24" t="n">
        <f aca="false">IF(AND(ISNUMBER(B561),ISNUMBER(D561)),B561*D561,0)</f>
        <v>45.1</v>
      </c>
    </row>
    <row r="562" customFormat="false" ht="15" hidden="false" customHeight="false" outlineLevel="0" collapsed="false">
      <c r="A562" s="19" t="s">
        <v>685</v>
      </c>
      <c r="B562" s="22" t="n">
        <v>110</v>
      </c>
      <c r="C562" s="19" t="n">
        <v>22</v>
      </c>
      <c r="D562" s="23" t="n">
        <v>0</v>
      </c>
      <c r="E562" s="19" t="s">
        <v>135</v>
      </c>
      <c r="F562" s="19" t="s">
        <v>161</v>
      </c>
      <c r="G562" s="19" t="s">
        <v>265</v>
      </c>
      <c r="H562" s="19"/>
      <c r="I562" s="24" t="n">
        <f aca="false">IF(AND(ISNUMBER(B562),ISNUMBER(D562)),B562*D562,0)</f>
        <v>0</v>
      </c>
    </row>
    <row r="563" customFormat="false" ht="15" hidden="false" customHeight="false" outlineLevel="0" collapsed="false">
      <c r="A563" s="19" t="s">
        <v>686</v>
      </c>
      <c r="B563" s="22" t="n">
        <v>110</v>
      </c>
      <c r="C563" s="19" t="n">
        <v>20</v>
      </c>
      <c r="D563" s="23" t="n">
        <v>0.45</v>
      </c>
      <c r="E563" s="19" t="s">
        <v>135</v>
      </c>
      <c r="F563" s="19" t="s">
        <v>161</v>
      </c>
      <c r="G563" s="19" t="s">
        <v>265</v>
      </c>
      <c r="H563" s="19"/>
      <c r="I563" s="24" t="n">
        <f aca="false">IF(AND(ISNUMBER(B563),ISNUMBER(D563)),B563*D563,0)</f>
        <v>49.5</v>
      </c>
    </row>
    <row r="564" customFormat="false" ht="15" hidden="false" customHeight="false" outlineLevel="0" collapsed="false">
      <c r="A564" s="19" t="s">
        <v>687</v>
      </c>
      <c r="B564" s="22" t="n">
        <v>110</v>
      </c>
      <c r="C564" s="19" t="n">
        <v>27</v>
      </c>
      <c r="D564" s="23" t="n">
        <v>0.54</v>
      </c>
      <c r="E564" s="19" t="s">
        <v>145</v>
      </c>
      <c r="F564" s="19" t="s">
        <v>161</v>
      </c>
      <c r="G564" s="19" t="s">
        <v>265</v>
      </c>
      <c r="H564" s="19"/>
      <c r="I564" s="24" t="n">
        <f aca="false">IF(AND(ISNUMBER(B564),ISNUMBER(D564)),B564*D564,0)</f>
        <v>59.4</v>
      </c>
    </row>
    <row r="565" customFormat="false" ht="15" hidden="false" customHeight="false" outlineLevel="0" collapsed="false">
      <c r="A565" s="19" t="s">
        <v>688</v>
      </c>
      <c r="B565" s="22" t="n">
        <v>110</v>
      </c>
      <c r="C565" s="19" t="n">
        <v>10</v>
      </c>
      <c r="D565" s="23" t="n">
        <v>0.39</v>
      </c>
      <c r="E565" s="19" t="s">
        <v>157</v>
      </c>
      <c r="F565" s="19" t="s">
        <v>161</v>
      </c>
      <c r="G565" s="19" t="s">
        <v>265</v>
      </c>
      <c r="H565" s="19"/>
      <c r="I565" s="24" t="n">
        <f aca="false">IF(AND(ISNUMBER(B565),ISNUMBER(D565)),B565*D565,0)</f>
        <v>42.9</v>
      </c>
    </row>
    <row r="566" customFormat="false" ht="15" hidden="false" customHeight="false" outlineLevel="0" collapsed="false">
      <c r="A566" s="19" t="s">
        <v>689</v>
      </c>
      <c r="B566" s="22" t="n">
        <v>110</v>
      </c>
      <c r="C566" s="19" t="n">
        <v>13</v>
      </c>
      <c r="D566" s="23" t="n">
        <v>0.39</v>
      </c>
      <c r="E566" s="19" t="s">
        <v>135</v>
      </c>
      <c r="F566" s="19" t="s">
        <v>161</v>
      </c>
      <c r="G566" s="19" t="s">
        <v>265</v>
      </c>
      <c r="H566" s="19"/>
      <c r="I566" s="24" t="n">
        <f aca="false">IF(AND(ISNUMBER(B566),ISNUMBER(D566)),B566*D566,0)</f>
        <v>42.9</v>
      </c>
    </row>
    <row r="567" customFormat="false" ht="15" hidden="false" customHeight="false" outlineLevel="0" collapsed="false">
      <c r="A567" s="19" t="s">
        <v>690</v>
      </c>
      <c r="B567" s="22" t="n">
        <v>110</v>
      </c>
      <c r="C567" s="19" t="n">
        <v>26</v>
      </c>
      <c r="D567" s="23" t="n">
        <v>0.38</v>
      </c>
      <c r="E567" s="19" t="s">
        <v>157</v>
      </c>
      <c r="F567" s="19" t="s">
        <v>136</v>
      </c>
      <c r="G567" s="19" t="s">
        <v>265</v>
      </c>
      <c r="H567" s="19"/>
      <c r="I567" s="24" t="n">
        <f aca="false">IF(AND(ISNUMBER(B567),ISNUMBER(D567)),B567*D567,0)</f>
        <v>41.8</v>
      </c>
    </row>
    <row r="568" customFormat="false" ht="15" hidden="false" customHeight="false" outlineLevel="0" collapsed="false">
      <c r="A568" s="19" t="s">
        <v>691</v>
      </c>
      <c r="B568" s="22" t="n">
        <v>110</v>
      </c>
      <c r="C568" s="19" t="n">
        <v>23</v>
      </c>
      <c r="D568" s="23" t="n">
        <v>0</v>
      </c>
      <c r="E568" s="19" t="s">
        <v>135</v>
      </c>
      <c r="F568" s="19" t="s">
        <v>136</v>
      </c>
      <c r="G568" s="19" t="s">
        <v>265</v>
      </c>
      <c r="H568" s="19"/>
      <c r="I568" s="24" t="n">
        <f aca="false">IF(AND(ISNUMBER(B568),ISNUMBER(D568)),B568*D568,0)</f>
        <v>0</v>
      </c>
    </row>
    <row r="569" customFormat="false" ht="15" hidden="false" customHeight="false" outlineLevel="0" collapsed="false">
      <c r="A569" s="19" t="s">
        <v>692</v>
      </c>
      <c r="B569" s="22" t="n">
        <v>110</v>
      </c>
      <c r="C569" s="19" t="n">
        <v>26</v>
      </c>
      <c r="D569" s="23" t="n">
        <v>0.49</v>
      </c>
      <c r="E569" s="19" t="s">
        <v>145</v>
      </c>
      <c r="F569" s="19" t="s">
        <v>136</v>
      </c>
      <c r="G569" s="19" t="s">
        <v>265</v>
      </c>
      <c r="H569" s="19"/>
      <c r="I569" s="24" t="n">
        <f aca="false">IF(AND(ISNUMBER(B569),ISNUMBER(D569)),B569*D569,0)</f>
        <v>53.9</v>
      </c>
    </row>
    <row r="570" customFormat="false" ht="15" hidden="false" customHeight="false" outlineLevel="0" collapsed="false">
      <c r="A570" s="19" t="s">
        <v>693</v>
      </c>
      <c r="B570" s="22" t="n">
        <v>110</v>
      </c>
      <c r="C570" s="19" t="n">
        <v>25</v>
      </c>
      <c r="D570" s="23" t="n">
        <v>0.42</v>
      </c>
      <c r="E570" s="19" t="s">
        <v>135</v>
      </c>
      <c r="F570" s="19" t="s">
        <v>136</v>
      </c>
      <c r="G570" s="19" t="s">
        <v>265</v>
      </c>
      <c r="H570" s="19"/>
      <c r="I570" s="24" t="n">
        <f aca="false">IF(AND(ISNUMBER(B570),ISNUMBER(D570)),B570*D570,0)</f>
        <v>46.2</v>
      </c>
    </row>
    <row r="571" customFormat="false" ht="15" hidden="false" customHeight="false" outlineLevel="0" collapsed="false">
      <c r="A571" s="19" t="s">
        <v>694</v>
      </c>
      <c r="B571" s="22" t="n">
        <v>110</v>
      </c>
      <c r="C571" s="19" t="n">
        <v>11</v>
      </c>
      <c r="D571" s="23" t="n">
        <v>0</v>
      </c>
      <c r="E571" s="19" t="s">
        <v>145</v>
      </c>
      <c r="F571" s="19" t="s">
        <v>136</v>
      </c>
      <c r="G571" s="19" t="s">
        <v>265</v>
      </c>
      <c r="H571" s="19"/>
      <c r="I571" s="24" t="n">
        <f aca="false">IF(AND(ISNUMBER(B571),ISNUMBER(D571)),B571*D571,0)</f>
        <v>0</v>
      </c>
    </row>
    <row r="572" customFormat="false" ht="15" hidden="false" customHeight="false" outlineLevel="0" collapsed="false">
      <c r="A572" s="19" t="s">
        <v>695</v>
      </c>
      <c r="B572" s="22" t="n">
        <v>110</v>
      </c>
      <c r="C572" s="19" t="n">
        <v>17</v>
      </c>
      <c r="D572" s="23" t="n">
        <v>0</v>
      </c>
      <c r="E572" s="19" t="s">
        <v>135</v>
      </c>
      <c r="F572" s="19" t="s">
        <v>136</v>
      </c>
      <c r="G572" s="19" t="s">
        <v>265</v>
      </c>
      <c r="H572" s="19"/>
      <c r="I572" s="24" t="n">
        <f aca="false">IF(AND(ISNUMBER(B572),ISNUMBER(D572)),B572*D572,0)</f>
        <v>0</v>
      </c>
    </row>
    <row r="573" customFormat="false" ht="15" hidden="false" customHeight="false" outlineLevel="0" collapsed="false">
      <c r="A573" s="19" t="s">
        <v>696</v>
      </c>
      <c r="B573" s="22" t="n">
        <v>110</v>
      </c>
      <c r="C573" s="19" t="n">
        <v>16</v>
      </c>
      <c r="D573" s="23" t="n">
        <v>0</v>
      </c>
      <c r="E573" s="19" t="s">
        <v>135</v>
      </c>
      <c r="F573" s="19" t="s">
        <v>136</v>
      </c>
      <c r="G573" s="19" t="s">
        <v>265</v>
      </c>
      <c r="H573" s="19"/>
      <c r="I573" s="24" t="n">
        <f aca="false">IF(AND(ISNUMBER(B573),ISNUMBER(D573)),B573*D573,0)</f>
        <v>0</v>
      </c>
    </row>
    <row r="574" customFormat="false" ht="15" hidden="false" customHeight="false" outlineLevel="0" collapsed="false">
      <c r="A574" s="19" t="s">
        <v>697</v>
      </c>
      <c r="B574" s="22" t="n">
        <v>110</v>
      </c>
      <c r="C574" s="19" t="n">
        <v>12</v>
      </c>
      <c r="D574" s="23" t="n">
        <v>0</v>
      </c>
      <c r="E574" s="19" t="s">
        <v>145</v>
      </c>
      <c r="F574" s="19" t="s">
        <v>136</v>
      </c>
      <c r="G574" s="19" t="s">
        <v>265</v>
      </c>
      <c r="H574" s="19"/>
      <c r="I574" s="24" t="n">
        <f aca="false">IF(AND(ISNUMBER(B574),ISNUMBER(D574)),B574*D574,0)</f>
        <v>0</v>
      </c>
    </row>
    <row r="575" customFormat="false" ht="15" hidden="false" customHeight="false" outlineLevel="0" collapsed="false">
      <c r="A575" s="19" t="s">
        <v>698</v>
      </c>
      <c r="B575" s="22" t="n">
        <v>110</v>
      </c>
      <c r="C575" s="19" t="n">
        <v>23</v>
      </c>
      <c r="D575" s="23" t="n">
        <v>0</v>
      </c>
      <c r="E575" s="19" t="s">
        <v>145</v>
      </c>
      <c r="F575" s="19" t="s">
        <v>136</v>
      </c>
      <c r="G575" s="19" t="s">
        <v>265</v>
      </c>
      <c r="H575" s="19"/>
      <c r="I575" s="24" t="n">
        <f aca="false">IF(AND(ISNUMBER(B575),ISNUMBER(D575)),B575*D575,0)</f>
        <v>0</v>
      </c>
    </row>
    <row r="576" customFormat="false" ht="15" hidden="false" customHeight="false" outlineLevel="0" collapsed="false">
      <c r="A576" s="19" t="s">
        <v>699</v>
      </c>
      <c r="B576" s="22" t="n">
        <v>110</v>
      </c>
      <c r="C576" s="19" t="n">
        <v>23</v>
      </c>
      <c r="D576" s="23" t="n">
        <v>0.3</v>
      </c>
      <c r="E576" s="19" t="s">
        <v>145</v>
      </c>
      <c r="F576" s="19" t="s">
        <v>136</v>
      </c>
      <c r="G576" s="19" t="s">
        <v>265</v>
      </c>
      <c r="H576" s="19"/>
      <c r="I576" s="24" t="n">
        <f aca="false">IF(AND(ISNUMBER(B576),ISNUMBER(D576)),B576*D576,0)</f>
        <v>33</v>
      </c>
    </row>
    <row r="577" customFormat="false" ht="15" hidden="false" customHeight="false" outlineLevel="0" collapsed="false">
      <c r="A577" s="19" t="s">
        <v>700</v>
      </c>
      <c r="B577" s="22" t="n">
        <v>110</v>
      </c>
      <c r="C577" s="19" t="n">
        <v>26</v>
      </c>
      <c r="D577" s="23" t="n">
        <v>0.3</v>
      </c>
      <c r="E577" s="19" t="s">
        <v>175</v>
      </c>
      <c r="F577" s="19" t="s">
        <v>136</v>
      </c>
      <c r="G577" s="19" t="s">
        <v>265</v>
      </c>
      <c r="H577" s="19"/>
      <c r="I577" s="24" t="n">
        <f aca="false">IF(AND(ISNUMBER(B577),ISNUMBER(D577)),B577*D577,0)</f>
        <v>33</v>
      </c>
    </row>
    <row r="578" customFormat="false" ht="15" hidden="false" customHeight="false" outlineLevel="0" collapsed="false">
      <c r="A578" s="19" t="s">
        <v>701</v>
      </c>
      <c r="B578" s="22" t="n">
        <v>110</v>
      </c>
      <c r="C578" s="19" t="n">
        <v>27</v>
      </c>
      <c r="D578" s="23" t="n">
        <v>0.3</v>
      </c>
      <c r="E578" s="19" t="s">
        <v>145</v>
      </c>
      <c r="F578" s="19" t="s">
        <v>136</v>
      </c>
      <c r="G578" s="19" t="s">
        <v>265</v>
      </c>
      <c r="H578" s="19"/>
      <c r="I578" s="24" t="n">
        <f aca="false">IF(AND(ISNUMBER(B578),ISNUMBER(D578)),B578*D578,0)</f>
        <v>33</v>
      </c>
    </row>
    <row r="579" customFormat="false" ht="15" hidden="false" customHeight="false" outlineLevel="0" collapsed="false">
      <c r="A579" s="19" t="s">
        <v>702</v>
      </c>
      <c r="B579" s="22" t="n">
        <v>110</v>
      </c>
      <c r="C579" s="19" t="n">
        <v>10</v>
      </c>
      <c r="D579" s="23" t="n">
        <v>1.05</v>
      </c>
      <c r="E579" s="19" t="s">
        <v>135</v>
      </c>
      <c r="F579" s="19" t="s">
        <v>136</v>
      </c>
      <c r="G579" s="19" t="s">
        <v>265</v>
      </c>
      <c r="H579" s="19"/>
      <c r="I579" s="24" t="n">
        <f aca="false">IF(AND(ISNUMBER(B579),ISNUMBER(D579)),B579*D579,0)</f>
        <v>115.5</v>
      </c>
    </row>
    <row r="580" customFormat="false" ht="15" hidden="false" customHeight="false" outlineLevel="0" collapsed="false">
      <c r="A580" s="19" t="s">
        <v>703</v>
      </c>
      <c r="B580" s="22" t="n">
        <v>110</v>
      </c>
      <c r="C580" s="19" t="n">
        <v>25</v>
      </c>
      <c r="D580" s="23" t="n">
        <v>1.06</v>
      </c>
      <c r="E580" s="19" t="s">
        <v>135</v>
      </c>
      <c r="F580" s="19" t="s">
        <v>136</v>
      </c>
      <c r="G580" s="19" t="s">
        <v>265</v>
      </c>
      <c r="H580" s="19"/>
      <c r="I580" s="24" t="n">
        <f aca="false">IF(AND(ISNUMBER(B580),ISNUMBER(D580)),B580*D580,0)</f>
        <v>116.6</v>
      </c>
    </row>
    <row r="581" customFormat="false" ht="15" hidden="false" customHeight="false" outlineLevel="0" collapsed="false">
      <c r="A581" s="19" t="s">
        <v>704</v>
      </c>
      <c r="B581" s="22" t="n">
        <v>110</v>
      </c>
      <c r="C581" s="19" t="n">
        <v>27</v>
      </c>
      <c r="D581" s="23" t="n">
        <v>1.06</v>
      </c>
      <c r="E581" s="19" t="s">
        <v>135</v>
      </c>
      <c r="F581" s="19" t="s">
        <v>136</v>
      </c>
      <c r="G581" s="19" t="s">
        <v>265</v>
      </c>
      <c r="H581" s="19"/>
      <c r="I581" s="24" t="n">
        <f aca="false">IF(AND(ISNUMBER(B581),ISNUMBER(D581)),B581*D581,0)</f>
        <v>116.6</v>
      </c>
    </row>
    <row r="582" customFormat="false" ht="15" hidden="false" customHeight="false" outlineLevel="0" collapsed="false">
      <c r="A582" s="19" t="s">
        <v>705</v>
      </c>
      <c r="B582" s="22" t="n">
        <v>110</v>
      </c>
      <c r="C582" s="19" t="n">
        <v>21</v>
      </c>
      <c r="D582" s="23" t="n">
        <v>0</v>
      </c>
      <c r="E582" s="19"/>
      <c r="F582" s="19" t="s">
        <v>136</v>
      </c>
      <c r="G582" s="19" t="s">
        <v>265</v>
      </c>
      <c r="H582" s="19"/>
      <c r="I582" s="24" t="n">
        <f aca="false">IF(AND(ISNUMBER(B582),ISNUMBER(D582)),B582*D582,0)</f>
        <v>0</v>
      </c>
    </row>
    <row r="583" customFormat="false" ht="15" hidden="false" customHeight="false" outlineLevel="0" collapsed="false">
      <c r="A583" s="19" t="s">
        <v>706</v>
      </c>
      <c r="B583" s="22" t="n">
        <v>110</v>
      </c>
      <c r="C583" s="19" t="n">
        <v>4</v>
      </c>
      <c r="D583" s="23" t="n">
        <v>0.3</v>
      </c>
      <c r="E583" s="19" t="s">
        <v>135</v>
      </c>
      <c r="F583" s="19" t="s">
        <v>136</v>
      </c>
      <c r="G583" s="19" t="s">
        <v>265</v>
      </c>
      <c r="H583" s="19"/>
      <c r="I583" s="24" t="n">
        <f aca="false">IF(AND(ISNUMBER(B583),ISNUMBER(D583)),B583*D583,0)</f>
        <v>33</v>
      </c>
    </row>
    <row r="584" customFormat="false" ht="15" hidden="false" customHeight="false" outlineLevel="0" collapsed="false">
      <c r="A584" s="19" t="s">
        <v>707</v>
      </c>
      <c r="B584" s="22" t="n">
        <v>110</v>
      </c>
      <c r="C584" s="19" t="n">
        <v>17</v>
      </c>
      <c r="D584" s="23" t="n">
        <v>0.3</v>
      </c>
      <c r="E584" s="19" t="s">
        <v>135</v>
      </c>
      <c r="F584" s="19" t="s">
        <v>136</v>
      </c>
      <c r="G584" s="19" t="s">
        <v>265</v>
      </c>
      <c r="H584" s="19"/>
      <c r="I584" s="24" t="n">
        <f aca="false">IF(AND(ISNUMBER(B584),ISNUMBER(D584)),B584*D584,0)</f>
        <v>33</v>
      </c>
    </row>
    <row r="585" customFormat="false" ht="15" hidden="false" customHeight="false" outlineLevel="0" collapsed="false">
      <c r="A585" s="19" t="s">
        <v>708</v>
      </c>
      <c r="B585" s="22" t="n">
        <v>110</v>
      </c>
      <c r="C585" s="19" t="n">
        <v>22</v>
      </c>
      <c r="D585" s="23" t="n">
        <v>0</v>
      </c>
      <c r="E585" s="19" t="s">
        <v>145</v>
      </c>
      <c r="F585" s="19" t="s">
        <v>136</v>
      </c>
      <c r="G585" s="19" t="s">
        <v>265</v>
      </c>
      <c r="H585" s="19"/>
      <c r="I585" s="24" t="n">
        <f aca="false">IF(AND(ISNUMBER(B585),ISNUMBER(D585)),B585*D585,0)</f>
        <v>0</v>
      </c>
    </row>
    <row r="586" customFormat="false" ht="15" hidden="false" customHeight="false" outlineLevel="0" collapsed="false">
      <c r="A586" s="19" t="s">
        <v>709</v>
      </c>
      <c r="B586" s="22" t="n">
        <v>110</v>
      </c>
      <c r="C586" s="19" t="n">
        <v>16</v>
      </c>
      <c r="D586" s="23" t="n">
        <v>0</v>
      </c>
      <c r="E586" s="19" t="s">
        <v>157</v>
      </c>
      <c r="F586" s="19" t="s">
        <v>136</v>
      </c>
      <c r="G586" s="19" t="s">
        <v>265</v>
      </c>
      <c r="H586" s="19"/>
      <c r="I586" s="24" t="n">
        <f aca="false">IF(AND(ISNUMBER(B586),ISNUMBER(D586)),B586*D586,0)</f>
        <v>0</v>
      </c>
    </row>
    <row r="587" customFormat="false" ht="15" hidden="false" customHeight="false" outlineLevel="0" collapsed="false">
      <c r="A587" s="19" t="s">
        <v>710</v>
      </c>
      <c r="B587" s="22" t="n">
        <v>110</v>
      </c>
      <c r="C587" s="19" t="n">
        <v>18</v>
      </c>
      <c r="D587" s="23" t="n">
        <v>0</v>
      </c>
      <c r="E587" s="19" t="s">
        <v>135</v>
      </c>
      <c r="F587" s="19" t="s">
        <v>136</v>
      </c>
      <c r="G587" s="19" t="s">
        <v>265</v>
      </c>
      <c r="H587" s="19"/>
      <c r="I587" s="24" t="n">
        <f aca="false">IF(AND(ISNUMBER(B587),ISNUMBER(D587)),B587*D587,0)</f>
        <v>0</v>
      </c>
    </row>
    <row r="588" customFormat="false" ht="15" hidden="false" customHeight="false" outlineLevel="0" collapsed="false">
      <c r="A588" s="19" t="s">
        <v>711</v>
      </c>
      <c r="B588" s="22" t="n">
        <v>110</v>
      </c>
      <c r="C588" s="19" t="n">
        <v>21</v>
      </c>
      <c r="D588" s="23" t="n">
        <v>0</v>
      </c>
      <c r="E588" s="19" t="s">
        <v>135</v>
      </c>
      <c r="F588" s="19" t="s">
        <v>136</v>
      </c>
      <c r="G588" s="19" t="s">
        <v>265</v>
      </c>
      <c r="H588" s="19"/>
      <c r="I588" s="24" t="n">
        <f aca="false">IF(AND(ISNUMBER(B588),ISNUMBER(D588)),B588*D588,0)</f>
        <v>0</v>
      </c>
    </row>
    <row r="589" customFormat="false" ht="15" hidden="false" customHeight="false" outlineLevel="0" collapsed="false">
      <c r="A589" s="19" t="s">
        <v>712</v>
      </c>
      <c r="B589" s="22" t="n">
        <v>110</v>
      </c>
      <c r="C589" s="19" t="n">
        <v>21</v>
      </c>
      <c r="D589" s="23" t="n">
        <v>0.33</v>
      </c>
      <c r="E589" s="19" t="s">
        <v>145</v>
      </c>
      <c r="F589" s="19" t="s">
        <v>136</v>
      </c>
      <c r="G589" s="19" t="s">
        <v>265</v>
      </c>
      <c r="H589" s="19"/>
      <c r="I589" s="24" t="n">
        <f aca="false">IF(AND(ISNUMBER(B589),ISNUMBER(D589)),B589*D589,0)</f>
        <v>36.3</v>
      </c>
    </row>
    <row r="590" customFormat="false" ht="15" hidden="false" customHeight="false" outlineLevel="0" collapsed="false">
      <c r="A590" s="19" t="s">
        <v>713</v>
      </c>
      <c r="B590" s="22" t="n">
        <v>110</v>
      </c>
      <c r="C590" s="19" t="n">
        <v>28</v>
      </c>
      <c r="D590" s="23" t="n">
        <v>1.06</v>
      </c>
      <c r="E590" s="19" t="s">
        <v>135</v>
      </c>
      <c r="F590" s="19" t="s">
        <v>136</v>
      </c>
      <c r="G590" s="19" t="s">
        <v>265</v>
      </c>
      <c r="H590" s="19"/>
      <c r="I590" s="24" t="n">
        <f aca="false">IF(AND(ISNUMBER(B590),ISNUMBER(D590)),B590*D590,0)</f>
        <v>116.6</v>
      </c>
    </row>
    <row r="591" customFormat="false" ht="15" hidden="false" customHeight="false" outlineLevel="0" collapsed="false">
      <c r="A591" s="19" t="s">
        <v>714</v>
      </c>
      <c r="B591" s="22" t="n">
        <v>110</v>
      </c>
      <c r="C591" s="19" t="n">
        <v>21</v>
      </c>
      <c r="D591" s="23" t="n">
        <v>0</v>
      </c>
      <c r="E591" s="19" t="s">
        <v>135</v>
      </c>
      <c r="F591" s="19" t="s">
        <v>136</v>
      </c>
      <c r="G591" s="19" t="s">
        <v>265</v>
      </c>
      <c r="H591" s="19"/>
      <c r="I591" s="24" t="n">
        <f aca="false">IF(AND(ISNUMBER(B591),ISNUMBER(D591)),B591*D591,0)</f>
        <v>0</v>
      </c>
    </row>
    <row r="592" customFormat="false" ht="15" hidden="false" customHeight="false" outlineLevel="0" collapsed="false">
      <c r="A592" s="19" t="s">
        <v>715</v>
      </c>
      <c r="B592" s="22" t="n">
        <v>110</v>
      </c>
      <c r="C592" s="19" t="n">
        <v>18</v>
      </c>
      <c r="D592" s="23" t="n">
        <v>3.73</v>
      </c>
      <c r="E592" s="19" t="s">
        <v>145</v>
      </c>
      <c r="F592" s="19" t="s">
        <v>136</v>
      </c>
      <c r="G592" s="19" t="s">
        <v>265</v>
      </c>
      <c r="H592" s="19"/>
      <c r="I592" s="24" t="n">
        <f aca="false">IF(AND(ISNUMBER(B592),ISNUMBER(D592)),B592*D592,0)</f>
        <v>410.3</v>
      </c>
    </row>
    <row r="593" customFormat="false" ht="15" hidden="false" customHeight="false" outlineLevel="0" collapsed="false">
      <c r="A593" s="19" t="s">
        <v>716</v>
      </c>
      <c r="B593" s="22" t="n">
        <v>110</v>
      </c>
      <c r="C593" s="19" t="n">
        <v>21</v>
      </c>
      <c r="D593" s="23" t="n">
        <v>0.15</v>
      </c>
      <c r="E593" s="19" t="s">
        <v>145</v>
      </c>
      <c r="F593" s="19" t="s">
        <v>136</v>
      </c>
      <c r="G593" s="19" t="s">
        <v>265</v>
      </c>
      <c r="H593" s="19"/>
      <c r="I593" s="24" t="n">
        <f aca="false">IF(AND(ISNUMBER(B593),ISNUMBER(D593)),B593*D593,0)</f>
        <v>16.5</v>
      </c>
    </row>
    <row r="594" customFormat="false" ht="15" hidden="false" customHeight="false" outlineLevel="0" collapsed="false">
      <c r="A594" s="19" t="s">
        <v>717</v>
      </c>
      <c r="B594" s="22" t="n">
        <v>110</v>
      </c>
      <c r="C594" s="19" t="n">
        <v>25</v>
      </c>
      <c r="D594" s="23" t="n">
        <v>0.33</v>
      </c>
      <c r="E594" s="19" t="s">
        <v>145</v>
      </c>
      <c r="F594" s="19" t="s">
        <v>136</v>
      </c>
      <c r="G594" s="19" t="s">
        <v>265</v>
      </c>
      <c r="H594" s="19"/>
      <c r="I594" s="24" t="n">
        <f aca="false">IF(AND(ISNUMBER(B594),ISNUMBER(D594)),B594*D594,0)</f>
        <v>36.3</v>
      </c>
    </row>
    <row r="595" customFormat="false" ht="15" hidden="false" customHeight="false" outlineLevel="0" collapsed="false">
      <c r="A595" s="19" t="s">
        <v>718</v>
      </c>
      <c r="B595" s="22" t="n">
        <v>110</v>
      </c>
      <c r="C595" s="19" t="n">
        <v>11</v>
      </c>
      <c r="D595" s="23" t="n">
        <v>0.63</v>
      </c>
      <c r="E595" s="19" t="s">
        <v>135</v>
      </c>
      <c r="F595" s="19" t="s">
        <v>136</v>
      </c>
      <c r="G595" s="19" t="s">
        <v>265</v>
      </c>
      <c r="H595" s="19"/>
      <c r="I595" s="24" t="n">
        <f aca="false">IF(AND(ISNUMBER(B595),ISNUMBER(D595)),B595*D595,0)</f>
        <v>69.3</v>
      </c>
    </row>
    <row r="596" customFormat="false" ht="15" hidden="false" customHeight="false" outlineLevel="0" collapsed="false">
      <c r="A596" s="19" t="s">
        <v>719</v>
      </c>
      <c r="B596" s="22" t="n">
        <v>110</v>
      </c>
      <c r="C596" s="19" t="n">
        <v>5</v>
      </c>
      <c r="D596" s="23" t="n">
        <v>0</v>
      </c>
      <c r="E596" s="19" t="s">
        <v>145</v>
      </c>
      <c r="F596" s="19" t="s">
        <v>136</v>
      </c>
      <c r="G596" s="19" t="s">
        <v>265</v>
      </c>
      <c r="H596" s="19"/>
      <c r="I596" s="24" t="n">
        <f aca="false">IF(AND(ISNUMBER(B596),ISNUMBER(D596)),B596*D596,0)</f>
        <v>0</v>
      </c>
    </row>
    <row r="597" customFormat="false" ht="15" hidden="false" customHeight="false" outlineLevel="0" collapsed="false">
      <c r="A597" s="19" t="s">
        <v>720</v>
      </c>
      <c r="B597" s="22" t="n">
        <v>110</v>
      </c>
      <c r="C597" s="19" t="n">
        <v>25</v>
      </c>
      <c r="D597" s="23" t="n">
        <v>0</v>
      </c>
      <c r="E597" s="19" t="s">
        <v>145</v>
      </c>
      <c r="F597" s="19" t="s">
        <v>136</v>
      </c>
      <c r="G597" s="19" t="s">
        <v>265</v>
      </c>
      <c r="H597" s="19"/>
      <c r="I597" s="24" t="n">
        <f aca="false">IF(AND(ISNUMBER(B597),ISNUMBER(D597)),B597*D597,0)</f>
        <v>0</v>
      </c>
    </row>
    <row r="598" customFormat="false" ht="15" hidden="false" customHeight="false" outlineLevel="0" collapsed="false">
      <c r="A598" s="19" t="s">
        <v>721</v>
      </c>
      <c r="B598" s="22" t="n">
        <v>110</v>
      </c>
      <c r="C598" s="19" t="n">
        <v>19</v>
      </c>
      <c r="D598" s="23" t="n">
        <v>0</v>
      </c>
      <c r="E598" s="19" t="s">
        <v>145</v>
      </c>
      <c r="F598" s="19" t="s">
        <v>136</v>
      </c>
      <c r="G598" s="19" t="s">
        <v>265</v>
      </c>
      <c r="H598" s="19"/>
      <c r="I598" s="24" t="n">
        <f aca="false">IF(AND(ISNUMBER(B598),ISNUMBER(D598)),B598*D598,0)</f>
        <v>0</v>
      </c>
    </row>
    <row r="599" customFormat="false" ht="15" hidden="false" customHeight="false" outlineLevel="0" collapsed="false">
      <c r="A599" s="19" t="s">
        <v>722</v>
      </c>
      <c r="B599" s="22" t="n">
        <v>110</v>
      </c>
      <c r="C599" s="19" t="n">
        <v>18</v>
      </c>
      <c r="D599" s="23" t="n">
        <v>0</v>
      </c>
      <c r="E599" s="19" t="s">
        <v>157</v>
      </c>
      <c r="F599" s="19" t="s">
        <v>136</v>
      </c>
      <c r="G599" s="19" t="s">
        <v>265</v>
      </c>
      <c r="H599" s="19"/>
      <c r="I599" s="24" t="n">
        <f aca="false">IF(AND(ISNUMBER(B599),ISNUMBER(D599)),B599*D599,0)</f>
        <v>0</v>
      </c>
    </row>
    <row r="600" customFormat="false" ht="15" hidden="false" customHeight="false" outlineLevel="0" collapsed="false">
      <c r="A600" s="19" t="s">
        <v>723</v>
      </c>
      <c r="B600" s="22" t="n">
        <v>110</v>
      </c>
      <c r="C600" s="19" t="n">
        <v>17</v>
      </c>
      <c r="D600" s="23" t="n">
        <v>0.3</v>
      </c>
      <c r="E600" s="19" t="s">
        <v>157</v>
      </c>
      <c r="F600" s="19" t="s">
        <v>136</v>
      </c>
      <c r="G600" s="19" t="s">
        <v>265</v>
      </c>
      <c r="H600" s="19"/>
      <c r="I600" s="24" t="n">
        <f aca="false">IF(AND(ISNUMBER(B600),ISNUMBER(D600)),B600*D600,0)</f>
        <v>33</v>
      </c>
    </row>
    <row r="601" customFormat="false" ht="15" hidden="false" customHeight="false" outlineLevel="0" collapsed="false">
      <c r="A601" s="19" t="s">
        <v>724</v>
      </c>
      <c r="B601" s="22" t="n">
        <v>20</v>
      </c>
      <c r="C601" s="19" t="n">
        <v>8</v>
      </c>
      <c r="D601" s="23" t="n">
        <v>0</v>
      </c>
      <c r="E601" s="19" t="s">
        <v>145</v>
      </c>
      <c r="F601" s="19" t="s">
        <v>151</v>
      </c>
      <c r="G601" s="19" t="s">
        <v>265</v>
      </c>
      <c r="H601" s="19"/>
      <c r="I601" s="24" t="n">
        <f aca="false">IF(AND(ISNUMBER(B601),ISNUMBER(D601)),B601*D601,0)</f>
        <v>0</v>
      </c>
    </row>
    <row r="602" customFormat="false" ht="15" hidden="false" customHeight="false" outlineLevel="0" collapsed="false">
      <c r="A602" s="19" t="s">
        <v>725</v>
      </c>
      <c r="B602" s="22" t="n">
        <v>1300</v>
      </c>
      <c r="C602" s="19" t="n">
        <v>25</v>
      </c>
      <c r="D602" s="23" t="n">
        <v>2.88</v>
      </c>
      <c r="E602" s="19" t="s">
        <v>168</v>
      </c>
      <c r="F602" s="19" t="s">
        <v>161</v>
      </c>
      <c r="G602" s="19" t="s">
        <v>726</v>
      </c>
      <c r="H602" s="19"/>
      <c r="I602" s="24" t="n">
        <f aca="false">IF(AND(ISNUMBER(B602),ISNUMBER(D602)),B602*D602,0)</f>
        <v>3744</v>
      </c>
    </row>
    <row r="603" customFormat="false" ht="15" hidden="false" customHeight="false" outlineLevel="0" collapsed="false">
      <c r="A603" s="19" t="s">
        <v>727</v>
      </c>
      <c r="B603" s="22" t="n">
        <v>1000</v>
      </c>
      <c r="C603" s="19" t="n">
        <v>28</v>
      </c>
      <c r="D603" s="23" t="n">
        <v>2.31</v>
      </c>
      <c r="E603" s="19" t="s">
        <v>135</v>
      </c>
      <c r="F603" s="19" t="s">
        <v>136</v>
      </c>
      <c r="G603" s="19" t="s">
        <v>726</v>
      </c>
      <c r="H603" s="19"/>
      <c r="I603" s="24" t="n">
        <f aca="false">IF(AND(ISNUMBER(B603),ISNUMBER(D603)),B603*D603,0)</f>
        <v>2310</v>
      </c>
    </row>
    <row r="604" customFormat="false" ht="15" hidden="false" customHeight="false" outlineLevel="0" collapsed="false">
      <c r="A604" s="19" t="s">
        <v>728</v>
      </c>
      <c r="B604" s="22" t="n">
        <v>880</v>
      </c>
      <c r="C604" s="19" t="n">
        <v>29</v>
      </c>
      <c r="D604" s="23" t="n">
        <v>1.1</v>
      </c>
      <c r="E604" s="19" t="s">
        <v>135</v>
      </c>
      <c r="F604" s="19" t="s">
        <v>136</v>
      </c>
      <c r="G604" s="19" t="s">
        <v>726</v>
      </c>
      <c r="H604" s="19"/>
      <c r="I604" s="24" t="n">
        <f aca="false">IF(AND(ISNUMBER(B604),ISNUMBER(D604)),B604*D604,0)</f>
        <v>968</v>
      </c>
    </row>
    <row r="605" customFormat="false" ht="15" hidden="false" customHeight="false" outlineLevel="0" collapsed="false">
      <c r="A605" s="19" t="s">
        <v>729</v>
      </c>
      <c r="B605" s="22" t="n">
        <v>720</v>
      </c>
      <c r="C605" s="19" t="n">
        <v>17</v>
      </c>
      <c r="D605" s="23" t="n">
        <v>2.24</v>
      </c>
      <c r="E605" s="19" t="s">
        <v>145</v>
      </c>
      <c r="F605" s="19" t="s">
        <v>161</v>
      </c>
      <c r="G605" s="19" t="s">
        <v>726</v>
      </c>
      <c r="H605" s="19"/>
      <c r="I605" s="24" t="n">
        <f aca="false">IF(AND(ISNUMBER(B605),ISNUMBER(D605)),B605*D605,0)</f>
        <v>1612.8</v>
      </c>
    </row>
    <row r="606" customFormat="false" ht="15" hidden="false" customHeight="false" outlineLevel="0" collapsed="false">
      <c r="A606" s="19" t="s">
        <v>730</v>
      </c>
      <c r="B606" s="22" t="n">
        <v>590</v>
      </c>
      <c r="C606" s="19" t="n">
        <v>22</v>
      </c>
      <c r="D606" s="23" t="n">
        <v>1.36</v>
      </c>
      <c r="E606" s="19" t="s">
        <v>168</v>
      </c>
      <c r="F606" s="19" t="s">
        <v>161</v>
      </c>
      <c r="G606" s="19" t="s">
        <v>726</v>
      </c>
      <c r="H606" s="19"/>
      <c r="I606" s="24" t="n">
        <f aca="false">IF(AND(ISNUMBER(B606),ISNUMBER(D606)),B606*D606,0)</f>
        <v>802.4</v>
      </c>
    </row>
    <row r="607" customFormat="false" ht="15" hidden="false" customHeight="false" outlineLevel="0" collapsed="false">
      <c r="A607" s="19" t="s">
        <v>731</v>
      </c>
      <c r="B607" s="22" t="n">
        <v>590</v>
      </c>
      <c r="C607" s="19" t="n">
        <v>17</v>
      </c>
      <c r="D607" s="23" t="n">
        <v>1.36</v>
      </c>
      <c r="E607" s="19" t="s">
        <v>168</v>
      </c>
      <c r="F607" s="19" t="s">
        <v>161</v>
      </c>
      <c r="G607" s="19" t="s">
        <v>726</v>
      </c>
      <c r="H607" s="19"/>
      <c r="I607" s="24" t="n">
        <f aca="false">IF(AND(ISNUMBER(B607),ISNUMBER(D607)),B607*D607,0)</f>
        <v>802.4</v>
      </c>
    </row>
    <row r="608" customFormat="false" ht="15" hidden="false" customHeight="false" outlineLevel="0" collapsed="false">
      <c r="A608" s="19" t="s">
        <v>732</v>
      </c>
      <c r="B608" s="22" t="n">
        <v>590</v>
      </c>
      <c r="C608" s="19" t="n">
        <v>23</v>
      </c>
      <c r="D608" s="23" t="n">
        <v>0.78</v>
      </c>
      <c r="E608" s="19" t="s">
        <v>135</v>
      </c>
      <c r="F608" s="19" t="s">
        <v>136</v>
      </c>
      <c r="G608" s="19" t="s">
        <v>726</v>
      </c>
      <c r="H608" s="19"/>
      <c r="I608" s="24" t="n">
        <f aca="false">IF(AND(ISNUMBER(B608),ISNUMBER(D608)),B608*D608,0)</f>
        <v>460.2</v>
      </c>
    </row>
    <row r="609" customFormat="false" ht="15" hidden="false" customHeight="false" outlineLevel="0" collapsed="false">
      <c r="A609" s="19" t="s">
        <v>733</v>
      </c>
      <c r="B609" s="22" t="n">
        <v>390</v>
      </c>
      <c r="C609" s="19" t="n">
        <v>24</v>
      </c>
      <c r="D609" s="23" t="n">
        <v>2.47</v>
      </c>
      <c r="E609" s="19" t="s">
        <v>168</v>
      </c>
      <c r="F609" s="19" t="s">
        <v>161</v>
      </c>
      <c r="G609" s="19" t="s">
        <v>726</v>
      </c>
      <c r="H609" s="19"/>
      <c r="I609" s="24" t="n">
        <f aca="false">IF(AND(ISNUMBER(B609),ISNUMBER(D609)),B609*D609,0)</f>
        <v>963.3</v>
      </c>
    </row>
    <row r="610" customFormat="false" ht="15" hidden="false" customHeight="false" outlineLevel="0" collapsed="false">
      <c r="A610" s="19" t="s">
        <v>734</v>
      </c>
      <c r="B610" s="22" t="n">
        <v>320</v>
      </c>
      <c r="C610" s="19" t="n">
        <v>28</v>
      </c>
      <c r="D610" s="23" t="n">
        <v>0.67</v>
      </c>
      <c r="E610" s="19" t="s">
        <v>168</v>
      </c>
      <c r="F610" s="19" t="s">
        <v>161</v>
      </c>
      <c r="G610" s="19" t="s">
        <v>726</v>
      </c>
      <c r="H610" s="19"/>
      <c r="I610" s="24" t="n">
        <f aca="false">IF(AND(ISNUMBER(B610),ISNUMBER(D610)),B610*D610,0)</f>
        <v>214.4</v>
      </c>
    </row>
    <row r="611" customFormat="false" ht="15" hidden="false" customHeight="false" outlineLevel="0" collapsed="false">
      <c r="A611" s="19" t="s">
        <v>735</v>
      </c>
      <c r="B611" s="22" t="n">
        <v>320</v>
      </c>
      <c r="C611" s="19" t="n">
        <v>27</v>
      </c>
      <c r="D611" s="23" t="n">
        <v>3.63</v>
      </c>
      <c r="E611" s="19" t="s">
        <v>135</v>
      </c>
      <c r="F611" s="19" t="s">
        <v>161</v>
      </c>
      <c r="G611" s="19" t="s">
        <v>726</v>
      </c>
      <c r="H611" s="19"/>
      <c r="I611" s="24" t="n">
        <f aca="false">IF(AND(ISNUMBER(B611),ISNUMBER(D611)),B611*D611,0)</f>
        <v>1161.6</v>
      </c>
    </row>
    <row r="612" customFormat="false" ht="15" hidden="false" customHeight="false" outlineLevel="0" collapsed="false">
      <c r="A612" s="19" t="s">
        <v>736</v>
      </c>
      <c r="B612" s="22" t="n">
        <v>320</v>
      </c>
      <c r="C612" s="19" t="n">
        <v>19</v>
      </c>
      <c r="D612" s="23" t="n">
        <v>0.98</v>
      </c>
      <c r="E612" s="19" t="s">
        <v>135</v>
      </c>
      <c r="F612" s="19" t="s">
        <v>161</v>
      </c>
      <c r="G612" s="19" t="s">
        <v>726</v>
      </c>
      <c r="H612" s="19"/>
      <c r="I612" s="24" t="n">
        <f aca="false">IF(AND(ISNUMBER(B612),ISNUMBER(D612)),B612*D612,0)</f>
        <v>313.6</v>
      </c>
    </row>
    <row r="613" customFormat="false" ht="15" hidden="false" customHeight="false" outlineLevel="0" collapsed="false">
      <c r="A613" s="19" t="s">
        <v>737</v>
      </c>
      <c r="B613" s="22" t="n">
        <v>320</v>
      </c>
      <c r="C613" s="19" t="n">
        <v>25</v>
      </c>
      <c r="D613" s="23" t="n">
        <v>0.91</v>
      </c>
      <c r="E613" s="19" t="s">
        <v>135</v>
      </c>
      <c r="F613" s="19" t="s">
        <v>161</v>
      </c>
      <c r="G613" s="19" t="s">
        <v>726</v>
      </c>
      <c r="H613" s="19"/>
      <c r="I613" s="24" t="n">
        <f aca="false">IF(AND(ISNUMBER(B613),ISNUMBER(D613)),B613*D613,0)</f>
        <v>291.2</v>
      </c>
    </row>
    <row r="614" customFormat="false" ht="15" hidden="false" customHeight="false" outlineLevel="0" collapsed="false">
      <c r="A614" s="19" t="s">
        <v>738</v>
      </c>
      <c r="B614" s="22" t="n">
        <v>320</v>
      </c>
      <c r="C614" s="19" t="n">
        <v>17</v>
      </c>
      <c r="D614" s="23" t="n">
        <v>0</v>
      </c>
      <c r="E614" s="19" t="s">
        <v>135</v>
      </c>
      <c r="F614" s="19" t="s">
        <v>136</v>
      </c>
      <c r="G614" s="19" t="s">
        <v>726</v>
      </c>
      <c r="H614" s="19"/>
      <c r="I614" s="24" t="n">
        <f aca="false">IF(AND(ISNUMBER(B614),ISNUMBER(D614)),B614*D614,0)</f>
        <v>0</v>
      </c>
    </row>
    <row r="615" customFormat="false" ht="15" hidden="false" customHeight="false" outlineLevel="0" collapsed="false">
      <c r="A615" s="19" t="s">
        <v>739</v>
      </c>
      <c r="B615" s="22" t="n">
        <v>320</v>
      </c>
      <c r="C615" s="19" t="n">
        <v>27</v>
      </c>
      <c r="D615" s="23" t="n">
        <v>0</v>
      </c>
      <c r="E615" s="19" t="s">
        <v>135</v>
      </c>
      <c r="F615" s="19" t="s">
        <v>136</v>
      </c>
      <c r="G615" s="19" t="s">
        <v>726</v>
      </c>
      <c r="H615" s="19"/>
      <c r="I615" s="24" t="n">
        <f aca="false">IF(AND(ISNUMBER(B615),ISNUMBER(D615)),B615*D615,0)</f>
        <v>0</v>
      </c>
    </row>
    <row r="616" customFormat="false" ht="15" hidden="false" customHeight="false" outlineLevel="0" collapsed="false">
      <c r="A616" s="19" t="s">
        <v>740</v>
      </c>
      <c r="B616" s="22" t="n">
        <v>320</v>
      </c>
      <c r="C616" s="19" t="n">
        <v>25</v>
      </c>
      <c r="D616" s="23" t="n">
        <v>1.41</v>
      </c>
      <c r="E616" s="19" t="s">
        <v>135</v>
      </c>
      <c r="F616" s="19" t="s">
        <v>136</v>
      </c>
      <c r="G616" s="19" t="s">
        <v>726</v>
      </c>
      <c r="H616" s="19"/>
      <c r="I616" s="24" t="n">
        <f aca="false">IF(AND(ISNUMBER(B616),ISNUMBER(D616)),B616*D616,0)</f>
        <v>451.2</v>
      </c>
    </row>
    <row r="617" customFormat="false" ht="15" hidden="false" customHeight="false" outlineLevel="0" collapsed="false">
      <c r="A617" s="19" t="s">
        <v>741</v>
      </c>
      <c r="B617" s="22" t="n">
        <v>260</v>
      </c>
      <c r="C617" s="19" t="n">
        <v>29</v>
      </c>
      <c r="D617" s="23" t="n">
        <v>5.43</v>
      </c>
      <c r="E617" s="19" t="s">
        <v>168</v>
      </c>
      <c r="F617" s="19" t="s">
        <v>140</v>
      </c>
      <c r="G617" s="19" t="s">
        <v>726</v>
      </c>
      <c r="H617" s="19"/>
      <c r="I617" s="24" t="n">
        <f aca="false">IF(AND(ISNUMBER(B617),ISNUMBER(D617)),B617*D617,0)</f>
        <v>1411.8</v>
      </c>
    </row>
    <row r="618" customFormat="false" ht="15" hidden="false" customHeight="false" outlineLevel="0" collapsed="false">
      <c r="A618" s="19" t="s">
        <v>742</v>
      </c>
      <c r="B618" s="22" t="n">
        <v>260</v>
      </c>
      <c r="C618" s="19" t="n">
        <v>25</v>
      </c>
      <c r="D618" s="23" t="n">
        <v>0.75</v>
      </c>
      <c r="E618" s="19" t="s">
        <v>168</v>
      </c>
      <c r="F618" s="19" t="s">
        <v>161</v>
      </c>
      <c r="G618" s="19" t="s">
        <v>726</v>
      </c>
      <c r="H618" s="19"/>
      <c r="I618" s="24" t="n">
        <f aca="false">IF(AND(ISNUMBER(B618),ISNUMBER(D618)),B618*D618,0)</f>
        <v>195</v>
      </c>
    </row>
    <row r="619" customFormat="false" ht="15" hidden="false" customHeight="false" outlineLevel="0" collapsed="false">
      <c r="A619" s="19" t="s">
        <v>743</v>
      </c>
      <c r="B619" s="22" t="n">
        <v>260</v>
      </c>
      <c r="C619" s="19" t="n">
        <v>27</v>
      </c>
      <c r="D619" s="23" t="n">
        <v>0.75</v>
      </c>
      <c r="E619" s="19" t="s">
        <v>135</v>
      </c>
      <c r="F619" s="19" t="s">
        <v>161</v>
      </c>
      <c r="G619" s="19" t="s">
        <v>726</v>
      </c>
      <c r="H619" s="19"/>
      <c r="I619" s="24" t="n">
        <f aca="false">IF(AND(ISNUMBER(B619),ISNUMBER(D619)),B619*D619,0)</f>
        <v>195</v>
      </c>
    </row>
    <row r="620" customFormat="false" ht="15" hidden="false" customHeight="false" outlineLevel="0" collapsed="false">
      <c r="A620" s="19" t="s">
        <v>744</v>
      </c>
      <c r="B620" s="22" t="n">
        <v>260</v>
      </c>
      <c r="C620" s="19" t="n">
        <v>14</v>
      </c>
      <c r="D620" s="23" t="n">
        <v>2.83</v>
      </c>
      <c r="E620" s="19" t="s">
        <v>135</v>
      </c>
      <c r="F620" s="19" t="s">
        <v>136</v>
      </c>
      <c r="G620" s="19" t="s">
        <v>726</v>
      </c>
      <c r="H620" s="19"/>
      <c r="I620" s="24" t="n">
        <f aca="false">IF(AND(ISNUMBER(B620),ISNUMBER(D620)),B620*D620,0)</f>
        <v>735.8</v>
      </c>
    </row>
    <row r="621" customFormat="false" ht="15" hidden="false" customHeight="false" outlineLevel="0" collapsed="false">
      <c r="A621" s="19" t="s">
        <v>745</v>
      </c>
      <c r="B621" s="22" t="n">
        <v>210</v>
      </c>
      <c r="C621" s="19" t="n">
        <v>22</v>
      </c>
      <c r="D621" s="23" t="n">
        <v>1.34</v>
      </c>
      <c r="E621" s="19" t="s">
        <v>157</v>
      </c>
      <c r="F621" s="19" t="s">
        <v>151</v>
      </c>
      <c r="G621" s="19" t="s">
        <v>726</v>
      </c>
      <c r="H621" s="19"/>
      <c r="I621" s="24" t="n">
        <f aca="false">IF(AND(ISNUMBER(B621),ISNUMBER(D621)),B621*D621,0)</f>
        <v>281.4</v>
      </c>
    </row>
    <row r="622" customFormat="false" ht="15" hidden="false" customHeight="false" outlineLevel="0" collapsed="false">
      <c r="A622" s="19" t="s">
        <v>746</v>
      </c>
      <c r="B622" s="22" t="n">
        <v>210</v>
      </c>
      <c r="C622" s="19" t="n">
        <v>26</v>
      </c>
      <c r="D622" s="23" t="n">
        <v>2.49</v>
      </c>
      <c r="E622" s="19" t="s">
        <v>185</v>
      </c>
      <c r="F622" s="19" t="s">
        <v>161</v>
      </c>
      <c r="G622" s="19" t="s">
        <v>726</v>
      </c>
      <c r="H622" s="19"/>
      <c r="I622" s="24" t="n">
        <f aca="false">IF(AND(ISNUMBER(B622),ISNUMBER(D622)),B622*D622,0)</f>
        <v>522.9</v>
      </c>
    </row>
    <row r="623" customFormat="false" ht="15" hidden="false" customHeight="false" outlineLevel="0" collapsed="false">
      <c r="A623" s="19" t="s">
        <v>747</v>
      </c>
      <c r="B623" s="22" t="n">
        <v>210</v>
      </c>
      <c r="C623" s="19" t="n">
        <v>22</v>
      </c>
      <c r="D623" s="23" t="n">
        <v>3.64</v>
      </c>
      <c r="E623" s="19" t="s">
        <v>135</v>
      </c>
      <c r="F623" s="19" t="s">
        <v>161</v>
      </c>
      <c r="G623" s="19" t="s">
        <v>726</v>
      </c>
      <c r="H623" s="19"/>
      <c r="I623" s="24" t="n">
        <f aca="false">IF(AND(ISNUMBER(B623),ISNUMBER(D623)),B623*D623,0)</f>
        <v>764.4</v>
      </c>
    </row>
    <row r="624" customFormat="false" ht="15" hidden="false" customHeight="false" outlineLevel="0" collapsed="false">
      <c r="A624" s="19" t="s">
        <v>748</v>
      </c>
      <c r="B624" s="22" t="n">
        <v>210</v>
      </c>
      <c r="C624" s="19" t="n">
        <v>8</v>
      </c>
      <c r="D624" s="23" t="n">
        <v>2.06</v>
      </c>
      <c r="E624" s="19" t="s">
        <v>135</v>
      </c>
      <c r="F624" s="19" t="s">
        <v>161</v>
      </c>
      <c r="G624" s="19" t="s">
        <v>726</v>
      </c>
      <c r="H624" s="19"/>
      <c r="I624" s="24" t="n">
        <f aca="false">IF(AND(ISNUMBER(B624),ISNUMBER(D624)),B624*D624,0)</f>
        <v>432.6</v>
      </c>
    </row>
    <row r="625" customFormat="false" ht="15" hidden="false" customHeight="false" outlineLevel="0" collapsed="false">
      <c r="A625" s="19" t="s">
        <v>749</v>
      </c>
      <c r="B625" s="22" t="n">
        <v>210</v>
      </c>
      <c r="C625" s="19" t="n">
        <v>19</v>
      </c>
      <c r="D625" s="23" t="n">
        <v>2.23</v>
      </c>
      <c r="E625" s="19" t="s">
        <v>135</v>
      </c>
      <c r="F625" s="19" t="s">
        <v>161</v>
      </c>
      <c r="G625" s="19" t="s">
        <v>726</v>
      </c>
      <c r="H625" s="19"/>
      <c r="I625" s="24" t="n">
        <f aca="false">IF(AND(ISNUMBER(B625),ISNUMBER(D625)),B625*D625,0)</f>
        <v>468.3</v>
      </c>
    </row>
    <row r="626" customFormat="false" ht="15" hidden="false" customHeight="false" outlineLevel="0" collapsed="false">
      <c r="A626" s="19" t="s">
        <v>750</v>
      </c>
      <c r="B626" s="22" t="n">
        <v>210</v>
      </c>
      <c r="C626" s="19" t="n">
        <v>10</v>
      </c>
      <c r="D626" s="23" t="n">
        <v>2.23</v>
      </c>
      <c r="E626" s="19" t="s">
        <v>135</v>
      </c>
      <c r="F626" s="19" t="s">
        <v>161</v>
      </c>
      <c r="G626" s="19" t="s">
        <v>726</v>
      </c>
      <c r="H626" s="19"/>
      <c r="I626" s="24" t="n">
        <f aca="false">IF(AND(ISNUMBER(B626),ISNUMBER(D626)),B626*D626,0)</f>
        <v>468.3</v>
      </c>
    </row>
    <row r="627" customFormat="false" ht="15" hidden="false" customHeight="false" outlineLevel="0" collapsed="false">
      <c r="A627" s="19" t="s">
        <v>751</v>
      </c>
      <c r="B627" s="22" t="n">
        <v>210</v>
      </c>
      <c r="C627" s="19" t="n">
        <v>29</v>
      </c>
      <c r="D627" s="23" t="n">
        <v>2.23</v>
      </c>
      <c r="E627" s="19" t="s">
        <v>135</v>
      </c>
      <c r="F627" s="19" t="s">
        <v>161</v>
      </c>
      <c r="G627" s="19" t="s">
        <v>726</v>
      </c>
      <c r="H627" s="19"/>
      <c r="I627" s="24" t="n">
        <f aca="false">IF(AND(ISNUMBER(B627),ISNUMBER(D627)),B627*D627,0)</f>
        <v>468.3</v>
      </c>
    </row>
    <row r="628" customFormat="false" ht="15" hidden="false" customHeight="false" outlineLevel="0" collapsed="false">
      <c r="A628" s="19" t="s">
        <v>752</v>
      </c>
      <c r="B628" s="22" t="n">
        <v>170</v>
      </c>
      <c r="C628" s="19" t="n">
        <v>15</v>
      </c>
      <c r="D628" s="23" t="n">
        <v>2.17</v>
      </c>
      <c r="E628" s="19" t="s">
        <v>284</v>
      </c>
      <c r="F628" s="19" t="s">
        <v>140</v>
      </c>
      <c r="G628" s="19" t="s">
        <v>726</v>
      </c>
      <c r="H628" s="19"/>
      <c r="I628" s="24" t="n">
        <f aca="false">IF(AND(ISNUMBER(B628),ISNUMBER(D628)),B628*D628,0)</f>
        <v>368.9</v>
      </c>
    </row>
    <row r="629" customFormat="false" ht="15" hidden="false" customHeight="false" outlineLevel="0" collapsed="false">
      <c r="A629" s="19" t="s">
        <v>753</v>
      </c>
      <c r="B629" s="22" t="n">
        <v>170</v>
      </c>
      <c r="C629" s="19" t="n">
        <v>29</v>
      </c>
      <c r="D629" s="23" t="n">
        <v>2.05</v>
      </c>
      <c r="E629" s="19" t="s">
        <v>168</v>
      </c>
      <c r="F629" s="19" t="s">
        <v>140</v>
      </c>
      <c r="G629" s="19" t="s">
        <v>726</v>
      </c>
      <c r="H629" s="19"/>
      <c r="I629" s="24" t="n">
        <f aca="false">IF(AND(ISNUMBER(B629),ISNUMBER(D629)),B629*D629,0)</f>
        <v>348.5</v>
      </c>
    </row>
    <row r="630" customFormat="false" ht="15" hidden="false" customHeight="false" outlineLevel="0" collapsed="false">
      <c r="A630" s="19" t="s">
        <v>754</v>
      </c>
      <c r="B630" s="22" t="n">
        <v>170</v>
      </c>
      <c r="C630" s="19" t="n">
        <v>21</v>
      </c>
      <c r="D630" s="23" t="n">
        <v>1.7</v>
      </c>
      <c r="E630" s="19" t="s">
        <v>168</v>
      </c>
      <c r="F630" s="19" t="s">
        <v>161</v>
      </c>
      <c r="G630" s="19" t="s">
        <v>726</v>
      </c>
      <c r="H630" s="19"/>
      <c r="I630" s="24" t="n">
        <f aca="false">IF(AND(ISNUMBER(B630),ISNUMBER(D630)),B630*D630,0)</f>
        <v>289</v>
      </c>
    </row>
    <row r="631" customFormat="false" ht="15" hidden="false" customHeight="false" outlineLevel="0" collapsed="false">
      <c r="A631" s="19" t="s">
        <v>755</v>
      </c>
      <c r="B631" s="22" t="n">
        <v>170</v>
      </c>
      <c r="C631" s="19" t="n">
        <v>24</v>
      </c>
      <c r="D631" s="23" t="n">
        <v>7.27</v>
      </c>
      <c r="E631" s="19" t="s">
        <v>135</v>
      </c>
      <c r="F631" s="19" t="s">
        <v>161</v>
      </c>
      <c r="G631" s="19" t="s">
        <v>726</v>
      </c>
      <c r="H631" s="19"/>
      <c r="I631" s="24" t="n">
        <f aca="false">IF(AND(ISNUMBER(B631),ISNUMBER(D631)),B631*D631,0)</f>
        <v>1235.9</v>
      </c>
    </row>
    <row r="632" customFormat="false" ht="15" hidden="false" customHeight="false" outlineLevel="0" collapsed="false">
      <c r="A632" s="19" t="s">
        <v>756</v>
      </c>
      <c r="B632" s="22" t="n">
        <v>170</v>
      </c>
      <c r="C632" s="19" t="n">
        <v>27</v>
      </c>
      <c r="D632" s="23" t="n">
        <v>5.22</v>
      </c>
      <c r="E632" s="19" t="s">
        <v>135</v>
      </c>
      <c r="F632" s="19" t="s">
        <v>161</v>
      </c>
      <c r="G632" s="19" t="s">
        <v>726</v>
      </c>
      <c r="H632" s="19"/>
      <c r="I632" s="24" t="n">
        <f aca="false">IF(AND(ISNUMBER(B632),ISNUMBER(D632)),B632*D632,0)</f>
        <v>887.4</v>
      </c>
    </row>
    <row r="633" customFormat="false" ht="15" hidden="false" customHeight="false" outlineLevel="0" collapsed="false">
      <c r="A633" s="19" t="s">
        <v>757</v>
      </c>
      <c r="B633" s="22" t="n">
        <v>170</v>
      </c>
      <c r="C633" s="19" t="n">
        <v>28</v>
      </c>
      <c r="D633" s="23" t="n">
        <v>0.66</v>
      </c>
      <c r="E633" s="19" t="s">
        <v>135</v>
      </c>
      <c r="F633" s="19" t="s">
        <v>161</v>
      </c>
      <c r="G633" s="19" t="s">
        <v>726</v>
      </c>
      <c r="H633" s="19"/>
      <c r="I633" s="24" t="n">
        <f aca="false">IF(AND(ISNUMBER(B633),ISNUMBER(D633)),B633*D633,0)</f>
        <v>112.2</v>
      </c>
    </row>
    <row r="634" customFormat="false" ht="15" hidden="false" customHeight="false" outlineLevel="0" collapsed="false">
      <c r="A634" s="19" t="s">
        <v>758</v>
      </c>
      <c r="B634" s="22" t="n">
        <v>140</v>
      </c>
      <c r="C634" s="19" t="n">
        <v>23</v>
      </c>
      <c r="D634" s="23" t="n">
        <v>0</v>
      </c>
      <c r="E634" s="19" t="s">
        <v>135</v>
      </c>
      <c r="F634" s="19" t="s">
        <v>140</v>
      </c>
      <c r="G634" s="19" t="s">
        <v>726</v>
      </c>
      <c r="H634" s="19"/>
      <c r="I634" s="24" t="n">
        <f aca="false">IF(AND(ISNUMBER(B634),ISNUMBER(D634)),B634*D634,0)</f>
        <v>0</v>
      </c>
    </row>
    <row r="635" customFormat="false" ht="15" hidden="false" customHeight="false" outlineLevel="0" collapsed="false">
      <c r="A635" s="19" t="s">
        <v>759</v>
      </c>
      <c r="B635" s="22" t="n">
        <v>140</v>
      </c>
      <c r="C635" s="19" t="n">
        <v>15</v>
      </c>
      <c r="D635" s="23" t="n">
        <v>2.77</v>
      </c>
      <c r="E635" s="19" t="s">
        <v>135</v>
      </c>
      <c r="F635" s="19" t="s">
        <v>161</v>
      </c>
      <c r="G635" s="19" t="s">
        <v>726</v>
      </c>
      <c r="H635" s="19"/>
      <c r="I635" s="24" t="n">
        <f aca="false">IF(AND(ISNUMBER(B635),ISNUMBER(D635)),B635*D635,0)</f>
        <v>387.8</v>
      </c>
    </row>
    <row r="636" customFormat="false" ht="15" hidden="false" customHeight="false" outlineLevel="0" collapsed="false">
      <c r="A636" s="19" t="s">
        <v>760</v>
      </c>
      <c r="B636" s="22" t="n">
        <v>140</v>
      </c>
      <c r="C636" s="19" t="n">
        <v>29</v>
      </c>
      <c r="D636" s="23" t="n">
        <v>0.49</v>
      </c>
      <c r="E636" s="19" t="s">
        <v>135</v>
      </c>
      <c r="F636" s="19" t="s">
        <v>161</v>
      </c>
      <c r="G636" s="19" t="s">
        <v>726</v>
      </c>
      <c r="H636" s="19"/>
      <c r="I636" s="24" t="n">
        <f aca="false">IF(AND(ISNUMBER(B636),ISNUMBER(D636)),B636*D636,0)</f>
        <v>68.6</v>
      </c>
    </row>
    <row r="637" customFormat="false" ht="15" hidden="false" customHeight="false" outlineLevel="0" collapsed="false">
      <c r="A637" s="19" t="s">
        <v>761</v>
      </c>
      <c r="B637" s="22" t="n">
        <v>140</v>
      </c>
      <c r="C637" s="19" t="n">
        <v>25</v>
      </c>
      <c r="D637" s="23" t="n">
        <v>0</v>
      </c>
      <c r="E637" s="19" t="s">
        <v>135</v>
      </c>
      <c r="F637" s="19" t="s">
        <v>161</v>
      </c>
      <c r="G637" s="19" t="s">
        <v>726</v>
      </c>
      <c r="H637" s="19"/>
      <c r="I637" s="24" t="n">
        <f aca="false">IF(AND(ISNUMBER(B637),ISNUMBER(D637)),B637*D637,0)</f>
        <v>0</v>
      </c>
    </row>
    <row r="638" customFormat="false" ht="15" hidden="false" customHeight="false" outlineLevel="0" collapsed="false">
      <c r="A638" s="19" t="s">
        <v>762</v>
      </c>
      <c r="B638" s="22" t="n">
        <v>140</v>
      </c>
      <c r="C638" s="19" t="n">
        <v>27</v>
      </c>
      <c r="D638" s="23" t="n">
        <v>0.82</v>
      </c>
      <c r="E638" s="19" t="s">
        <v>135</v>
      </c>
      <c r="F638" s="19" t="s">
        <v>161</v>
      </c>
      <c r="G638" s="19" t="s">
        <v>726</v>
      </c>
      <c r="H638" s="19"/>
      <c r="I638" s="24" t="n">
        <f aca="false">IF(AND(ISNUMBER(B638),ISNUMBER(D638)),B638*D638,0)</f>
        <v>114.8</v>
      </c>
    </row>
    <row r="639" customFormat="false" ht="15" hidden="false" customHeight="false" outlineLevel="0" collapsed="false">
      <c r="A639" s="19" t="s">
        <v>763</v>
      </c>
      <c r="B639" s="22" t="n">
        <v>140</v>
      </c>
      <c r="C639" s="19" t="n">
        <v>27</v>
      </c>
      <c r="D639" s="23" t="n">
        <v>0.82</v>
      </c>
      <c r="E639" s="19" t="s">
        <v>135</v>
      </c>
      <c r="F639" s="19" t="s">
        <v>161</v>
      </c>
      <c r="G639" s="19" t="s">
        <v>726</v>
      </c>
      <c r="H639" s="19"/>
      <c r="I639" s="24" t="n">
        <f aca="false">IF(AND(ISNUMBER(B639),ISNUMBER(D639)),B639*D639,0)</f>
        <v>114.8</v>
      </c>
    </row>
    <row r="640" customFormat="false" ht="15" hidden="false" customHeight="false" outlineLevel="0" collapsed="false">
      <c r="A640" s="19" t="s">
        <v>764</v>
      </c>
      <c r="B640" s="22" t="n">
        <v>140</v>
      </c>
      <c r="C640" s="19" t="n">
        <v>17</v>
      </c>
      <c r="D640" s="23" t="n">
        <v>0.77</v>
      </c>
      <c r="E640" s="19" t="s">
        <v>135</v>
      </c>
      <c r="F640" s="19" t="s">
        <v>136</v>
      </c>
      <c r="G640" s="19" t="s">
        <v>726</v>
      </c>
      <c r="H640" s="19"/>
      <c r="I640" s="24" t="n">
        <f aca="false">IF(AND(ISNUMBER(B640),ISNUMBER(D640)),B640*D640,0)</f>
        <v>107.8</v>
      </c>
    </row>
    <row r="641" customFormat="false" ht="15" hidden="false" customHeight="false" outlineLevel="0" collapsed="false">
      <c r="A641" s="19" t="s">
        <v>765</v>
      </c>
      <c r="B641" s="22" t="n">
        <v>110</v>
      </c>
      <c r="C641" s="19" t="n">
        <v>29</v>
      </c>
      <c r="D641" s="23" t="n">
        <v>2</v>
      </c>
      <c r="E641" s="19" t="s">
        <v>135</v>
      </c>
      <c r="F641" s="19" t="s">
        <v>140</v>
      </c>
      <c r="G641" s="19" t="s">
        <v>726</v>
      </c>
      <c r="H641" s="19"/>
      <c r="I641" s="24" t="n">
        <f aca="false">IF(AND(ISNUMBER(B641),ISNUMBER(D641)),B641*D641,0)</f>
        <v>220</v>
      </c>
    </row>
    <row r="642" customFormat="false" ht="15" hidden="false" customHeight="false" outlineLevel="0" collapsed="false">
      <c r="A642" s="19" t="s">
        <v>766</v>
      </c>
      <c r="B642" s="22" t="n">
        <v>110</v>
      </c>
      <c r="C642" s="19" t="n">
        <v>28</v>
      </c>
      <c r="D642" s="23" t="n">
        <v>2.45</v>
      </c>
      <c r="E642" s="19" t="s">
        <v>284</v>
      </c>
      <c r="F642" s="19" t="s">
        <v>161</v>
      </c>
      <c r="G642" s="19" t="s">
        <v>726</v>
      </c>
      <c r="H642" s="19"/>
      <c r="I642" s="24" t="n">
        <f aca="false">IF(AND(ISNUMBER(B642),ISNUMBER(D642)),B642*D642,0)</f>
        <v>269.5</v>
      </c>
    </row>
    <row r="643" customFormat="false" ht="15" hidden="false" customHeight="false" outlineLevel="0" collapsed="false">
      <c r="A643" s="19" t="s">
        <v>767</v>
      </c>
      <c r="B643" s="22" t="n">
        <v>110</v>
      </c>
      <c r="C643" s="19" t="n">
        <v>25</v>
      </c>
      <c r="D643" s="23" t="n">
        <v>1.7</v>
      </c>
      <c r="E643" s="19" t="s">
        <v>135</v>
      </c>
      <c r="F643" s="19" t="s">
        <v>161</v>
      </c>
      <c r="G643" s="19" t="s">
        <v>726</v>
      </c>
      <c r="H643" s="19"/>
      <c r="I643" s="24" t="n">
        <f aca="false">IF(AND(ISNUMBER(B643),ISNUMBER(D643)),B643*D643,0)</f>
        <v>187</v>
      </c>
    </row>
    <row r="644" customFormat="false" ht="15" hidden="false" customHeight="false" outlineLevel="0" collapsed="false">
      <c r="A644" s="19" t="s">
        <v>768</v>
      </c>
      <c r="B644" s="22" t="n">
        <v>110</v>
      </c>
      <c r="C644" s="19" t="n">
        <v>20</v>
      </c>
      <c r="D644" s="23" t="n">
        <v>0</v>
      </c>
      <c r="E644" s="19" t="s">
        <v>135</v>
      </c>
      <c r="F644" s="19" t="s">
        <v>161</v>
      </c>
      <c r="G644" s="19" t="s">
        <v>726</v>
      </c>
      <c r="H644" s="19"/>
      <c r="I644" s="24" t="n">
        <f aca="false">IF(AND(ISNUMBER(B644),ISNUMBER(D644)),B644*D644,0)</f>
        <v>0</v>
      </c>
    </row>
    <row r="645" customFormat="false" ht="15" hidden="false" customHeight="false" outlineLevel="0" collapsed="false">
      <c r="A645" s="19" t="s">
        <v>769</v>
      </c>
      <c r="B645" s="22" t="n">
        <v>110</v>
      </c>
      <c r="C645" s="19" t="n">
        <v>9</v>
      </c>
      <c r="D645" s="23" t="n">
        <v>1.16</v>
      </c>
      <c r="E645" s="19" t="s">
        <v>145</v>
      </c>
      <c r="F645" s="19" t="s">
        <v>161</v>
      </c>
      <c r="G645" s="19" t="s">
        <v>726</v>
      </c>
      <c r="H645" s="19"/>
      <c r="I645" s="24" t="n">
        <f aca="false">IF(AND(ISNUMBER(B645),ISNUMBER(D645)),B645*D645,0)</f>
        <v>127.6</v>
      </c>
    </row>
    <row r="646" customFormat="false" ht="15" hidden="false" customHeight="false" outlineLevel="0" collapsed="false">
      <c r="A646" s="19" t="s">
        <v>770</v>
      </c>
      <c r="B646" s="22" t="n">
        <v>110</v>
      </c>
      <c r="C646" s="19" t="n">
        <v>23</v>
      </c>
      <c r="D646" s="23" t="n">
        <v>1.7</v>
      </c>
      <c r="E646" s="19" t="s">
        <v>145</v>
      </c>
      <c r="F646" s="19" t="s">
        <v>161</v>
      </c>
      <c r="G646" s="19" t="s">
        <v>726</v>
      </c>
      <c r="H646" s="19"/>
      <c r="I646" s="24" t="n">
        <f aca="false">IF(AND(ISNUMBER(B646),ISNUMBER(D646)),B646*D646,0)</f>
        <v>187</v>
      </c>
    </row>
    <row r="647" customFormat="false" ht="15" hidden="false" customHeight="false" outlineLevel="0" collapsed="false">
      <c r="A647" s="19" t="s">
        <v>771</v>
      </c>
      <c r="B647" s="22" t="n">
        <v>110</v>
      </c>
      <c r="C647" s="19" t="n">
        <v>28</v>
      </c>
      <c r="D647" s="23" t="n">
        <v>2.26</v>
      </c>
      <c r="E647" s="19" t="s">
        <v>135</v>
      </c>
      <c r="F647" s="19" t="s">
        <v>161</v>
      </c>
      <c r="G647" s="19" t="s">
        <v>726</v>
      </c>
      <c r="H647" s="19"/>
      <c r="I647" s="24" t="n">
        <f aca="false">IF(AND(ISNUMBER(B647),ISNUMBER(D647)),B647*D647,0)</f>
        <v>248.6</v>
      </c>
    </row>
    <row r="648" customFormat="false" ht="15" hidden="false" customHeight="false" outlineLevel="0" collapsed="false">
      <c r="A648" s="19" t="s">
        <v>772</v>
      </c>
      <c r="B648" s="22" t="n">
        <v>110</v>
      </c>
      <c r="C648" s="19" t="n">
        <v>22</v>
      </c>
      <c r="D648" s="23" t="n">
        <v>0.85</v>
      </c>
      <c r="E648" s="19" t="s">
        <v>135</v>
      </c>
      <c r="F648" s="19" t="s">
        <v>161</v>
      </c>
      <c r="G648" s="19" t="s">
        <v>726</v>
      </c>
      <c r="H648" s="19"/>
      <c r="I648" s="24" t="n">
        <f aca="false">IF(AND(ISNUMBER(B648),ISNUMBER(D648)),B648*D648,0)</f>
        <v>93.5</v>
      </c>
    </row>
    <row r="649" customFormat="false" ht="15" hidden="false" customHeight="false" outlineLevel="0" collapsed="false">
      <c r="A649" s="19" t="s">
        <v>773</v>
      </c>
      <c r="B649" s="22" t="n">
        <v>110</v>
      </c>
      <c r="C649" s="19" t="n">
        <v>28</v>
      </c>
      <c r="D649" s="23" t="n">
        <v>0.85</v>
      </c>
      <c r="E649" s="19" t="s">
        <v>135</v>
      </c>
      <c r="F649" s="19" t="s">
        <v>161</v>
      </c>
      <c r="G649" s="19" t="s">
        <v>726</v>
      </c>
      <c r="H649" s="19"/>
      <c r="I649" s="24" t="n">
        <f aca="false">IF(AND(ISNUMBER(B649),ISNUMBER(D649)),B649*D649,0)</f>
        <v>93.5</v>
      </c>
    </row>
    <row r="650" customFormat="false" ht="15" hidden="false" customHeight="false" outlineLevel="0" collapsed="false">
      <c r="A650" s="19" t="s">
        <v>774</v>
      </c>
      <c r="B650" s="22" t="n">
        <v>110</v>
      </c>
      <c r="C650" s="19" t="n">
        <v>17</v>
      </c>
      <c r="D650" s="23" t="n">
        <v>2.3</v>
      </c>
      <c r="E650" s="19" t="s">
        <v>135</v>
      </c>
      <c r="F650" s="19" t="s">
        <v>136</v>
      </c>
      <c r="G650" s="19" t="s">
        <v>726</v>
      </c>
      <c r="H650" s="19"/>
      <c r="I650" s="24" t="n">
        <f aca="false">IF(AND(ISNUMBER(B650),ISNUMBER(D650)),B650*D650,0)</f>
        <v>253</v>
      </c>
    </row>
    <row r="651" customFormat="false" ht="15" hidden="false" customHeight="false" outlineLevel="0" collapsed="false">
      <c r="A651" s="19" t="s">
        <v>775</v>
      </c>
      <c r="B651" s="22" t="n">
        <v>110</v>
      </c>
      <c r="C651" s="19" t="n">
        <v>26</v>
      </c>
      <c r="D651" s="23" t="n">
        <v>2.35</v>
      </c>
      <c r="E651" s="19" t="s">
        <v>135</v>
      </c>
      <c r="F651" s="19" t="s">
        <v>136</v>
      </c>
      <c r="G651" s="19" t="s">
        <v>726</v>
      </c>
      <c r="H651" s="19"/>
      <c r="I651" s="24" t="n">
        <f aca="false">IF(AND(ISNUMBER(B651),ISNUMBER(D651)),B651*D651,0)</f>
        <v>258.5</v>
      </c>
    </row>
    <row r="652" customFormat="false" ht="15" hidden="false" customHeight="false" outlineLevel="0" collapsed="false">
      <c r="A652" s="19" t="s">
        <v>776</v>
      </c>
      <c r="B652" s="22" t="n">
        <v>110</v>
      </c>
      <c r="C652" s="19" t="n">
        <v>20</v>
      </c>
      <c r="D652" s="23" t="n">
        <v>1.21</v>
      </c>
      <c r="E652" s="19" t="s">
        <v>157</v>
      </c>
      <c r="F652" s="19" t="s">
        <v>136</v>
      </c>
      <c r="G652" s="19" t="s">
        <v>726</v>
      </c>
      <c r="H652" s="19"/>
      <c r="I652" s="24" t="n">
        <f aca="false">IF(AND(ISNUMBER(B652),ISNUMBER(D652)),B652*D652,0)</f>
        <v>133.1</v>
      </c>
    </row>
    <row r="653" customFormat="false" ht="15" hidden="false" customHeight="false" outlineLevel="0" collapsed="false">
      <c r="A653" s="19" t="s">
        <v>777</v>
      </c>
      <c r="B653" s="22" t="n">
        <v>30</v>
      </c>
      <c r="C653" s="19" t="n">
        <v>6</v>
      </c>
      <c r="D653" s="23" t="n">
        <v>0.95</v>
      </c>
      <c r="E653" s="19" t="s">
        <v>145</v>
      </c>
      <c r="F653" s="19" t="s">
        <v>151</v>
      </c>
      <c r="G653" s="19" t="s">
        <v>726</v>
      </c>
      <c r="H653" s="19"/>
      <c r="I653" s="24" t="n">
        <f aca="false">IF(AND(ISNUMBER(B653),ISNUMBER(D653)),B653*D653,0)</f>
        <v>28.5</v>
      </c>
    </row>
    <row r="654" customFormat="false" ht="15" hidden="false" customHeight="false" outlineLevel="0" collapsed="false">
      <c r="A654" s="19" t="s">
        <v>778</v>
      </c>
      <c r="B654" s="22" t="n">
        <v>20</v>
      </c>
      <c r="C654" s="19" t="n">
        <v>10</v>
      </c>
      <c r="D654" s="23" t="n">
        <v>0</v>
      </c>
      <c r="E654" s="19" t="s">
        <v>135</v>
      </c>
      <c r="F654" s="19" t="s">
        <v>151</v>
      </c>
      <c r="G654" s="19" t="s">
        <v>726</v>
      </c>
      <c r="H654" s="19"/>
      <c r="I654" s="24" t="n">
        <f aca="false">IF(AND(ISNUMBER(B654),ISNUMBER(D654)),B654*D654,0)</f>
        <v>0</v>
      </c>
    </row>
    <row r="655" customFormat="false" ht="15" hidden="false" customHeight="false" outlineLevel="0" collapsed="false">
      <c r="A655" s="19" t="s">
        <v>779</v>
      </c>
      <c r="B655" s="22" t="n">
        <v>20</v>
      </c>
      <c r="C655" s="19" t="n">
        <v>8</v>
      </c>
      <c r="D655" s="23" t="n">
        <v>0</v>
      </c>
      <c r="E655" s="19" t="s">
        <v>166</v>
      </c>
      <c r="F655" s="19" t="s">
        <v>151</v>
      </c>
      <c r="G655" s="19" t="s">
        <v>726</v>
      </c>
      <c r="H655" s="19"/>
      <c r="I655" s="24" t="n">
        <f aca="false">IF(AND(ISNUMBER(B655),ISNUMBER(D655)),B655*D655,0)</f>
        <v>0</v>
      </c>
    </row>
    <row r="656" customFormat="false" ht="15" hidden="false" customHeight="false" outlineLevel="0" collapsed="false">
      <c r="A656" s="19" t="s">
        <v>780</v>
      </c>
      <c r="B656" s="22" t="n">
        <v>20</v>
      </c>
      <c r="C656" s="19" t="n">
        <v>14</v>
      </c>
      <c r="D656" s="23" t="n">
        <v>0</v>
      </c>
      <c r="E656" s="19" t="s">
        <v>157</v>
      </c>
      <c r="F656" s="19" t="s">
        <v>151</v>
      </c>
      <c r="G656" s="19" t="s">
        <v>726</v>
      </c>
      <c r="H656" s="19"/>
      <c r="I656" s="24" t="n">
        <f aca="false">IF(AND(ISNUMBER(B656),ISNUMBER(D656)),B656*D656,0)</f>
        <v>0</v>
      </c>
    </row>
    <row r="657" customFormat="false" ht="15" hidden="false" customHeight="false" outlineLevel="0" collapsed="false">
      <c r="A657" s="19" t="s">
        <v>781</v>
      </c>
      <c r="B657" s="22" t="n">
        <v>10</v>
      </c>
      <c r="C657" s="19" t="n">
        <v>18</v>
      </c>
      <c r="D657" s="23" t="n">
        <v>0</v>
      </c>
      <c r="E657" s="19" t="s">
        <v>135</v>
      </c>
      <c r="F657" s="19" t="s">
        <v>151</v>
      </c>
      <c r="G657" s="19" t="s">
        <v>726</v>
      </c>
      <c r="H657" s="19"/>
      <c r="I657" s="24" t="n">
        <f aca="false">IF(AND(ISNUMBER(B657),ISNUMBER(D657)),B657*D657,0)</f>
        <v>0</v>
      </c>
    </row>
    <row r="658" customFormat="false" ht="15" hidden="false" customHeight="false" outlineLevel="0" collapsed="false">
      <c r="A658" s="19" t="s">
        <v>782</v>
      </c>
      <c r="B658" s="22" t="n">
        <v>10</v>
      </c>
      <c r="C658" s="19" t="n">
        <v>14</v>
      </c>
      <c r="D658" s="23" t="n">
        <v>0</v>
      </c>
      <c r="E658" s="19" t="s">
        <v>135</v>
      </c>
      <c r="F658" s="19" t="s">
        <v>151</v>
      </c>
      <c r="G658" s="19" t="s">
        <v>726</v>
      </c>
      <c r="H658" s="19"/>
      <c r="I658" s="24" t="n">
        <f aca="false">IF(AND(ISNUMBER(B658),ISNUMBER(D658)),B658*D658,0)</f>
        <v>0</v>
      </c>
    </row>
    <row r="659" customFormat="false" ht="15" hidden="false" customHeight="false" outlineLevel="0" collapsed="false">
      <c r="A659" s="19" t="s">
        <v>783</v>
      </c>
      <c r="B659" s="22" t="n">
        <v>10</v>
      </c>
      <c r="C659" s="19" t="n">
        <v>14</v>
      </c>
      <c r="D659" s="23" t="n">
        <v>1.1</v>
      </c>
      <c r="E659" s="19" t="s">
        <v>145</v>
      </c>
      <c r="F659" s="19" t="s">
        <v>151</v>
      </c>
      <c r="G659" s="19" t="s">
        <v>726</v>
      </c>
      <c r="H659" s="19"/>
      <c r="I659" s="24" t="n">
        <f aca="false">IF(AND(ISNUMBER(B659),ISNUMBER(D659)),B659*D659,0)</f>
        <v>11</v>
      </c>
    </row>
    <row r="660" customFormat="false" ht="15" hidden="false" customHeight="false" outlineLevel="0" collapsed="false">
      <c r="A660" s="19" t="s">
        <v>784</v>
      </c>
      <c r="B660" s="22" t="n">
        <v>10</v>
      </c>
      <c r="C660" s="19" t="n">
        <v>6</v>
      </c>
      <c r="D660" s="23" t="n">
        <v>0</v>
      </c>
      <c r="E660" s="19" t="s">
        <v>157</v>
      </c>
      <c r="F660" s="19" t="s">
        <v>151</v>
      </c>
      <c r="G660" s="19" t="s">
        <v>726</v>
      </c>
      <c r="H660" s="19"/>
      <c r="I660" s="24" t="n">
        <f aca="false">IF(AND(ISNUMBER(B660),ISNUMBER(D660)),B660*D660,0)</f>
        <v>0</v>
      </c>
    </row>
    <row r="661" customFormat="false" ht="15" hidden="false" customHeight="false" outlineLevel="0" collapsed="false">
      <c r="A661" s="19" t="s">
        <v>785</v>
      </c>
      <c r="B661" s="22" t="n">
        <v>10</v>
      </c>
      <c r="C661" s="19" t="n">
        <v>11</v>
      </c>
      <c r="D661" s="23" t="n">
        <v>0</v>
      </c>
      <c r="E661" s="19" t="s">
        <v>166</v>
      </c>
      <c r="F661" s="19" t="s">
        <v>151</v>
      </c>
      <c r="G661" s="19" t="s">
        <v>726</v>
      </c>
      <c r="H661" s="19"/>
      <c r="I661" s="24" t="n">
        <f aca="false">IF(AND(ISNUMBER(B661),ISNUMBER(D661)),B661*D661,0)</f>
        <v>0</v>
      </c>
    </row>
    <row r="662" customFormat="false" ht="15" hidden="false" customHeight="false" outlineLevel="0" collapsed="false">
      <c r="A662" s="19" t="s">
        <v>93</v>
      </c>
      <c r="B662" s="22" t="n">
        <v>880</v>
      </c>
      <c r="C662" s="19" t="n">
        <v>17</v>
      </c>
      <c r="D662" s="23" t="n">
        <v>1.04</v>
      </c>
      <c r="E662" s="19" t="s">
        <v>145</v>
      </c>
      <c r="F662" s="19" t="s">
        <v>140</v>
      </c>
      <c r="G662" s="19" t="s">
        <v>786</v>
      </c>
      <c r="H662" s="19" t="s">
        <v>91</v>
      </c>
      <c r="I662" s="24" t="n">
        <f aca="false">IF(AND(ISNUMBER(B662),ISNUMBER(D662)),B662*D662,0)</f>
        <v>915.2</v>
      </c>
    </row>
    <row r="663" customFormat="false" ht="15" hidden="false" customHeight="false" outlineLevel="0" collapsed="false">
      <c r="A663" s="19" t="s">
        <v>89</v>
      </c>
      <c r="B663" s="22" t="n">
        <v>590</v>
      </c>
      <c r="C663" s="19" t="n">
        <v>27</v>
      </c>
      <c r="D663" s="23" t="n">
        <v>1.42</v>
      </c>
      <c r="E663" s="19" t="s">
        <v>145</v>
      </c>
      <c r="F663" s="19" t="s">
        <v>136</v>
      </c>
      <c r="G663" s="19" t="s">
        <v>786</v>
      </c>
      <c r="H663" s="19" t="s">
        <v>87</v>
      </c>
      <c r="I663" s="24" t="n">
        <f aca="false">IF(AND(ISNUMBER(B663),ISNUMBER(D663)),B663*D663,0)</f>
        <v>837.8</v>
      </c>
    </row>
    <row r="664" customFormat="false" ht="15" hidden="false" customHeight="false" outlineLevel="0" collapsed="false">
      <c r="A664" s="19" t="s">
        <v>787</v>
      </c>
      <c r="B664" s="22" t="n">
        <v>480</v>
      </c>
      <c r="C664" s="19" t="n">
        <v>17</v>
      </c>
      <c r="D664" s="23" t="n">
        <v>0.97</v>
      </c>
      <c r="E664" s="19" t="s">
        <v>135</v>
      </c>
      <c r="F664" s="19" t="s">
        <v>140</v>
      </c>
      <c r="G664" s="19" t="s">
        <v>786</v>
      </c>
      <c r="H664" s="19" t="s">
        <v>91</v>
      </c>
      <c r="I664" s="24" t="n">
        <f aca="false">IF(AND(ISNUMBER(B664),ISNUMBER(D664)),B664*D664,0)</f>
        <v>465.6</v>
      </c>
    </row>
    <row r="665" customFormat="false" ht="15" hidden="false" customHeight="false" outlineLevel="0" collapsed="false">
      <c r="A665" s="19" t="s">
        <v>788</v>
      </c>
      <c r="B665" s="22" t="n">
        <v>480</v>
      </c>
      <c r="C665" s="19" t="n">
        <v>17</v>
      </c>
      <c r="D665" s="23" t="n">
        <v>0.97</v>
      </c>
      <c r="E665" s="19" t="s">
        <v>145</v>
      </c>
      <c r="F665" s="19" t="s">
        <v>140</v>
      </c>
      <c r="G665" s="19" t="s">
        <v>786</v>
      </c>
      <c r="H665" s="19" t="s">
        <v>91</v>
      </c>
      <c r="I665" s="24" t="n">
        <f aca="false">IF(AND(ISNUMBER(B665),ISNUMBER(D665)),B665*D665,0)</f>
        <v>465.6</v>
      </c>
    </row>
    <row r="666" customFormat="false" ht="15" hidden="false" customHeight="false" outlineLevel="0" collapsed="false">
      <c r="A666" s="19" t="s">
        <v>789</v>
      </c>
      <c r="B666" s="22" t="n">
        <v>480</v>
      </c>
      <c r="C666" s="19" t="n">
        <v>20</v>
      </c>
      <c r="D666" s="23" t="n">
        <v>0.97</v>
      </c>
      <c r="E666" s="19" t="s">
        <v>135</v>
      </c>
      <c r="F666" s="19" t="s">
        <v>140</v>
      </c>
      <c r="G666" s="19" t="s">
        <v>786</v>
      </c>
      <c r="H666" s="19" t="s">
        <v>91</v>
      </c>
      <c r="I666" s="24" t="n">
        <f aca="false">IF(AND(ISNUMBER(B666),ISNUMBER(D666)),B666*D666,0)</f>
        <v>465.6</v>
      </c>
    </row>
    <row r="667" customFormat="false" ht="15" hidden="false" customHeight="false" outlineLevel="0" collapsed="false">
      <c r="A667" s="19" t="s">
        <v>790</v>
      </c>
      <c r="B667" s="22" t="n">
        <v>390</v>
      </c>
      <c r="C667" s="19" t="n">
        <v>23</v>
      </c>
      <c r="D667" s="23" t="n">
        <v>1.04</v>
      </c>
      <c r="E667" s="19" t="s">
        <v>157</v>
      </c>
      <c r="F667" s="19" t="s">
        <v>136</v>
      </c>
      <c r="G667" s="19" t="s">
        <v>786</v>
      </c>
      <c r="H667" s="19" t="s">
        <v>87</v>
      </c>
      <c r="I667" s="24" t="n">
        <f aca="false">IF(AND(ISNUMBER(B667),ISNUMBER(D667)),B667*D667,0)</f>
        <v>405.6</v>
      </c>
    </row>
    <row r="668" customFormat="false" ht="15" hidden="false" customHeight="false" outlineLevel="0" collapsed="false">
      <c r="A668" s="19" t="s">
        <v>791</v>
      </c>
      <c r="B668" s="22" t="n">
        <v>260</v>
      </c>
      <c r="C668" s="19" t="n">
        <v>16</v>
      </c>
      <c r="D668" s="23" t="n">
        <v>1.25</v>
      </c>
      <c r="E668" s="19" t="s">
        <v>145</v>
      </c>
      <c r="F668" s="19" t="s">
        <v>140</v>
      </c>
      <c r="G668" s="19" t="s">
        <v>786</v>
      </c>
      <c r="H668" s="19" t="s">
        <v>91</v>
      </c>
      <c r="I668" s="24" t="n">
        <f aca="false">IF(AND(ISNUMBER(B668),ISNUMBER(D668)),B668*D668,0)</f>
        <v>325</v>
      </c>
    </row>
    <row r="669" customFormat="false" ht="15" hidden="false" customHeight="false" outlineLevel="0" collapsed="false">
      <c r="A669" s="19" t="s">
        <v>792</v>
      </c>
      <c r="B669" s="22" t="n">
        <v>260</v>
      </c>
      <c r="C669" s="19" t="n">
        <v>23</v>
      </c>
      <c r="D669" s="23" t="n">
        <v>0</v>
      </c>
      <c r="E669" s="19" t="s">
        <v>145</v>
      </c>
      <c r="F669" s="19" t="s">
        <v>136</v>
      </c>
      <c r="G669" s="19" t="s">
        <v>786</v>
      </c>
      <c r="H669" s="19" t="s">
        <v>87</v>
      </c>
      <c r="I669" s="24" t="n">
        <f aca="false">IF(AND(ISNUMBER(B669),ISNUMBER(D669)),B669*D669,0)</f>
        <v>0</v>
      </c>
    </row>
    <row r="670" customFormat="false" ht="15" hidden="false" customHeight="false" outlineLevel="0" collapsed="false">
      <c r="A670" s="19" t="s">
        <v>793</v>
      </c>
      <c r="B670" s="22" t="n">
        <v>170</v>
      </c>
      <c r="C670" s="19" t="n">
        <v>22</v>
      </c>
      <c r="D670" s="23" t="n">
        <v>0</v>
      </c>
      <c r="E670" s="19" t="s">
        <v>145</v>
      </c>
      <c r="F670" s="19" t="s">
        <v>140</v>
      </c>
      <c r="G670" s="19" t="s">
        <v>786</v>
      </c>
      <c r="H670" s="19"/>
      <c r="I670" s="24" t="n">
        <f aca="false">IF(AND(ISNUMBER(B670),ISNUMBER(D670)),B670*D670,0)</f>
        <v>0</v>
      </c>
    </row>
    <row r="671" customFormat="false" ht="15" hidden="false" customHeight="false" outlineLevel="0" collapsed="false">
      <c r="A671" s="19" t="s">
        <v>794</v>
      </c>
      <c r="B671" s="22" t="n">
        <v>170</v>
      </c>
      <c r="C671" s="19" t="n">
        <v>14</v>
      </c>
      <c r="D671" s="23" t="n">
        <v>5.18</v>
      </c>
      <c r="E671" s="19" t="s">
        <v>157</v>
      </c>
      <c r="F671" s="19" t="s">
        <v>140</v>
      </c>
      <c r="G671" s="19" t="s">
        <v>786</v>
      </c>
      <c r="H671" s="19"/>
      <c r="I671" s="24" t="n">
        <f aca="false">IF(AND(ISNUMBER(B671),ISNUMBER(D671)),B671*D671,0)</f>
        <v>880.6</v>
      </c>
    </row>
    <row r="672" customFormat="false" ht="15" hidden="false" customHeight="false" outlineLevel="0" collapsed="false">
      <c r="A672" s="19" t="s">
        <v>795</v>
      </c>
      <c r="B672" s="22" t="n">
        <v>170</v>
      </c>
      <c r="C672" s="19" t="n">
        <v>7</v>
      </c>
      <c r="D672" s="23" t="n">
        <v>1.07</v>
      </c>
      <c r="E672" s="19" t="s">
        <v>145</v>
      </c>
      <c r="F672" s="19" t="s">
        <v>140</v>
      </c>
      <c r="G672" s="19" t="s">
        <v>786</v>
      </c>
      <c r="H672" s="19" t="s">
        <v>91</v>
      </c>
      <c r="I672" s="24" t="n">
        <f aca="false">IF(AND(ISNUMBER(B672),ISNUMBER(D672)),B672*D672,0)</f>
        <v>181.9</v>
      </c>
    </row>
    <row r="673" customFormat="false" ht="15" hidden="false" customHeight="false" outlineLevel="0" collapsed="false">
      <c r="A673" s="19" t="s">
        <v>796</v>
      </c>
      <c r="B673" s="22" t="n">
        <v>170</v>
      </c>
      <c r="C673" s="19" t="n">
        <v>21</v>
      </c>
      <c r="D673" s="23" t="n">
        <v>7.87</v>
      </c>
      <c r="E673" s="19" t="s">
        <v>145</v>
      </c>
      <c r="F673" s="19" t="s">
        <v>136</v>
      </c>
      <c r="G673" s="19" t="s">
        <v>786</v>
      </c>
      <c r="H673" s="19"/>
      <c r="I673" s="24" t="n">
        <f aca="false">IF(AND(ISNUMBER(B673),ISNUMBER(D673)),B673*D673,0)</f>
        <v>1337.9</v>
      </c>
    </row>
    <row r="674" customFormat="false" ht="15" hidden="false" customHeight="false" outlineLevel="0" collapsed="false">
      <c r="A674" s="19" t="s">
        <v>797</v>
      </c>
      <c r="B674" s="22" t="n">
        <v>170</v>
      </c>
      <c r="C674" s="19" t="n">
        <v>25</v>
      </c>
      <c r="D674" s="23" t="n">
        <v>0</v>
      </c>
      <c r="E674" s="19" t="s">
        <v>145</v>
      </c>
      <c r="F674" s="19" t="s">
        <v>136</v>
      </c>
      <c r="G674" s="19" t="s">
        <v>786</v>
      </c>
      <c r="H674" s="19" t="s">
        <v>87</v>
      </c>
      <c r="I674" s="24" t="n">
        <f aca="false">IF(AND(ISNUMBER(B674),ISNUMBER(D674)),B674*D674,0)</f>
        <v>0</v>
      </c>
    </row>
    <row r="675" customFormat="false" ht="15" hidden="false" customHeight="false" outlineLevel="0" collapsed="false">
      <c r="A675" s="19" t="s">
        <v>798</v>
      </c>
      <c r="B675" s="22" t="n">
        <v>140</v>
      </c>
      <c r="C675" s="19" t="n">
        <v>12</v>
      </c>
      <c r="D675" s="23" t="n">
        <v>0</v>
      </c>
      <c r="E675" s="19" t="s">
        <v>145</v>
      </c>
      <c r="F675" s="19" t="s">
        <v>140</v>
      </c>
      <c r="G675" s="19" t="s">
        <v>786</v>
      </c>
      <c r="H675" s="19"/>
      <c r="I675" s="24" t="n">
        <f aca="false">IF(AND(ISNUMBER(B675),ISNUMBER(D675)),B675*D675,0)</f>
        <v>0</v>
      </c>
    </row>
    <row r="676" customFormat="false" ht="15" hidden="false" customHeight="false" outlineLevel="0" collapsed="false">
      <c r="A676" s="19" t="s">
        <v>799</v>
      </c>
      <c r="B676" s="22" t="n">
        <v>140</v>
      </c>
      <c r="C676" s="19" t="n">
        <v>5</v>
      </c>
      <c r="D676" s="23" t="n">
        <v>0</v>
      </c>
      <c r="E676" s="19" t="s">
        <v>145</v>
      </c>
      <c r="F676" s="19" t="s">
        <v>140</v>
      </c>
      <c r="G676" s="19" t="s">
        <v>786</v>
      </c>
      <c r="H676" s="19" t="s">
        <v>91</v>
      </c>
      <c r="I676" s="24" t="n">
        <f aca="false">IF(AND(ISNUMBER(B676),ISNUMBER(D676)),B676*D676,0)</f>
        <v>0</v>
      </c>
    </row>
    <row r="677" customFormat="false" ht="15" hidden="false" customHeight="false" outlineLevel="0" collapsed="false">
      <c r="A677" s="19" t="s">
        <v>80</v>
      </c>
      <c r="B677" s="22" t="n">
        <v>1900</v>
      </c>
      <c r="C677" s="19" t="n">
        <v>15</v>
      </c>
      <c r="D677" s="23" t="n">
        <v>1.92</v>
      </c>
      <c r="E677" s="19" t="s">
        <v>185</v>
      </c>
      <c r="F677" s="19" t="s">
        <v>161</v>
      </c>
      <c r="G677" s="19" t="s">
        <v>800</v>
      </c>
      <c r="H677" s="19" t="s">
        <v>78</v>
      </c>
      <c r="I677" s="24" t="n">
        <f aca="false">IF(AND(ISNUMBER(B677),ISNUMBER(D677)),B677*D677,0)</f>
        <v>3648</v>
      </c>
    </row>
    <row r="678" customFormat="false" ht="15" hidden="false" customHeight="false" outlineLevel="0" collapsed="false">
      <c r="A678" s="19" t="s">
        <v>801</v>
      </c>
      <c r="B678" s="22" t="n">
        <v>1600</v>
      </c>
      <c r="C678" s="19" t="n">
        <v>14</v>
      </c>
      <c r="D678" s="23" t="n">
        <v>0</v>
      </c>
      <c r="E678" s="19" t="s">
        <v>157</v>
      </c>
      <c r="F678" s="19" t="s">
        <v>161</v>
      </c>
      <c r="G678" s="19" t="s">
        <v>800</v>
      </c>
      <c r="H678" s="19"/>
      <c r="I678" s="24" t="n">
        <f aca="false">IF(AND(ISNUMBER(B678),ISNUMBER(D678)),B678*D678,0)</f>
        <v>0</v>
      </c>
    </row>
    <row r="679" customFormat="false" ht="15" hidden="false" customHeight="false" outlineLevel="0" collapsed="false">
      <c r="A679" s="19" t="s">
        <v>802</v>
      </c>
      <c r="B679" s="22" t="n">
        <v>1600</v>
      </c>
      <c r="C679" s="19" t="n">
        <v>25</v>
      </c>
      <c r="D679" s="23" t="n">
        <v>0.58</v>
      </c>
      <c r="E679" s="19" t="s">
        <v>135</v>
      </c>
      <c r="F679" s="19" t="s">
        <v>161</v>
      </c>
      <c r="G679" s="19" t="s">
        <v>800</v>
      </c>
      <c r="H679" s="19"/>
      <c r="I679" s="24" t="n">
        <f aca="false">IF(AND(ISNUMBER(B679),ISNUMBER(D679)),B679*D679,0)</f>
        <v>928</v>
      </c>
    </row>
    <row r="680" customFormat="false" ht="15" hidden="false" customHeight="false" outlineLevel="0" collapsed="false">
      <c r="A680" s="19" t="s">
        <v>803</v>
      </c>
      <c r="B680" s="22" t="n">
        <v>1000</v>
      </c>
      <c r="C680" s="19" t="n">
        <v>19</v>
      </c>
      <c r="D680" s="23" t="n">
        <v>0</v>
      </c>
      <c r="E680" s="19" t="s">
        <v>145</v>
      </c>
      <c r="F680" s="19" t="s">
        <v>136</v>
      </c>
      <c r="G680" s="19" t="s">
        <v>800</v>
      </c>
      <c r="H680" s="19"/>
      <c r="I680" s="24" t="n">
        <f aca="false">IF(AND(ISNUMBER(B680),ISNUMBER(D680)),B680*D680,0)</f>
        <v>0</v>
      </c>
    </row>
    <row r="681" customFormat="false" ht="15" hidden="false" customHeight="false" outlineLevel="0" collapsed="false">
      <c r="A681" s="19" t="s">
        <v>804</v>
      </c>
      <c r="B681" s="22" t="n">
        <v>880</v>
      </c>
      <c r="C681" s="19" t="n">
        <v>26</v>
      </c>
      <c r="D681" s="23" t="n">
        <v>0.88</v>
      </c>
      <c r="E681" s="19" t="s">
        <v>157</v>
      </c>
      <c r="F681" s="19" t="s">
        <v>161</v>
      </c>
      <c r="G681" s="19" t="s">
        <v>800</v>
      </c>
      <c r="H681" s="19"/>
      <c r="I681" s="24" t="n">
        <f aca="false">IF(AND(ISNUMBER(B681),ISNUMBER(D681)),B681*D681,0)</f>
        <v>774.4</v>
      </c>
    </row>
    <row r="682" customFormat="false" ht="15" hidden="false" customHeight="false" outlineLevel="0" collapsed="false">
      <c r="A682" s="19" t="s">
        <v>805</v>
      </c>
      <c r="B682" s="22" t="n">
        <v>880</v>
      </c>
      <c r="C682" s="19" t="n">
        <v>17</v>
      </c>
      <c r="D682" s="23" t="n">
        <v>0.52</v>
      </c>
      <c r="E682" s="19" t="s">
        <v>135</v>
      </c>
      <c r="F682" s="19" t="s">
        <v>136</v>
      </c>
      <c r="G682" s="19" t="s">
        <v>800</v>
      </c>
      <c r="H682" s="19"/>
      <c r="I682" s="24" t="n">
        <f aca="false">IF(AND(ISNUMBER(B682),ISNUMBER(D682)),B682*D682,0)</f>
        <v>457.6</v>
      </c>
    </row>
    <row r="683" customFormat="false" ht="15" hidden="false" customHeight="false" outlineLevel="0" collapsed="false">
      <c r="A683" s="19" t="s">
        <v>806</v>
      </c>
      <c r="B683" s="22" t="n">
        <v>720</v>
      </c>
      <c r="C683" s="19" t="n">
        <v>17</v>
      </c>
      <c r="D683" s="23" t="n">
        <v>0.9</v>
      </c>
      <c r="E683" s="19" t="s">
        <v>145</v>
      </c>
      <c r="F683" s="19" t="s">
        <v>161</v>
      </c>
      <c r="G683" s="19" t="s">
        <v>800</v>
      </c>
      <c r="H683" s="19"/>
      <c r="I683" s="24" t="n">
        <f aca="false">IF(AND(ISNUMBER(B683),ISNUMBER(D683)),B683*D683,0)</f>
        <v>648</v>
      </c>
    </row>
    <row r="684" customFormat="false" ht="15" hidden="false" customHeight="false" outlineLevel="0" collapsed="false">
      <c r="A684" s="19" t="s">
        <v>807</v>
      </c>
      <c r="B684" s="22" t="n">
        <v>720</v>
      </c>
      <c r="C684" s="19" t="n">
        <v>21</v>
      </c>
      <c r="D684" s="23" t="n">
        <v>0.72</v>
      </c>
      <c r="E684" s="19" t="s">
        <v>145</v>
      </c>
      <c r="F684" s="19" t="s">
        <v>161</v>
      </c>
      <c r="G684" s="19" t="s">
        <v>800</v>
      </c>
      <c r="H684" s="19"/>
      <c r="I684" s="24" t="n">
        <f aca="false">IF(AND(ISNUMBER(B684),ISNUMBER(D684)),B684*D684,0)</f>
        <v>518.4</v>
      </c>
    </row>
    <row r="685" customFormat="false" ht="15" hidden="false" customHeight="false" outlineLevel="0" collapsed="false">
      <c r="A685" s="19" t="s">
        <v>808</v>
      </c>
      <c r="B685" s="22" t="n">
        <v>720</v>
      </c>
      <c r="C685" s="19" t="n">
        <v>11</v>
      </c>
      <c r="D685" s="23" t="n">
        <v>0.64</v>
      </c>
      <c r="E685" s="19" t="s">
        <v>135</v>
      </c>
      <c r="F685" s="19" t="s">
        <v>161</v>
      </c>
      <c r="G685" s="19" t="s">
        <v>800</v>
      </c>
      <c r="H685" s="19"/>
      <c r="I685" s="24" t="n">
        <f aca="false">IF(AND(ISNUMBER(B685),ISNUMBER(D685)),B685*D685,0)</f>
        <v>460.8</v>
      </c>
    </row>
    <row r="686" customFormat="false" ht="15" hidden="false" customHeight="false" outlineLevel="0" collapsed="false">
      <c r="A686" s="19" t="s">
        <v>809</v>
      </c>
      <c r="B686" s="22" t="n">
        <v>590</v>
      </c>
      <c r="C686" s="19" t="n">
        <v>21</v>
      </c>
      <c r="D686" s="23" t="n">
        <v>0.77</v>
      </c>
      <c r="E686" s="19" t="s">
        <v>135</v>
      </c>
      <c r="F686" s="19" t="s">
        <v>161</v>
      </c>
      <c r="G686" s="19" t="s">
        <v>800</v>
      </c>
      <c r="H686" s="19" t="s">
        <v>78</v>
      </c>
      <c r="I686" s="24" t="n">
        <f aca="false">IF(AND(ISNUMBER(B686),ISNUMBER(D686)),B686*D686,0)</f>
        <v>454.3</v>
      </c>
    </row>
    <row r="687" customFormat="false" ht="15" hidden="false" customHeight="false" outlineLevel="0" collapsed="false">
      <c r="A687" s="19" t="s">
        <v>810</v>
      </c>
      <c r="B687" s="22" t="n">
        <v>590</v>
      </c>
      <c r="C687" s="19" t="n">
        <v>21</v>
      </c>
      <c r="D687" s="23" t="n">
        <v>0.77</v>
      </c>
      <c r="E687" s="19" t="s">
        <v>145</v>
      </c>
      <c r="F687" s="19" t="s">
        <v>161</v>
      </c>
      <c r="G687" s="19" t="s">
        <v>800</v>
      </c>
      <c r="H687" s="19" t="s">
        <v>78</v>
      </c>
      <c r="I687" s="24" t="n">
        <f aca="false">IF(AND(ISNUMBER(B687),ISNUMBER(D687)),B687*D687,0)</f>
        <v>454.3</v>
      </c>
    </row>
    <row r="688" customFormat="false" ht="15" hidden="false" customHeight="false" outlineLevel="0" collapsed="false">
      <c r="A688" s="19" t="s">
        <v>811</v>
      </c>
      <c r="B688" s="22" t="n">
        <v>590</v>
      </c>
      <c r="C688" s="19" t="n">
        <v>26</v>
      </c>
      <c r="D688" s="23" t="n">
        <v>0.77</v>
      </c>
      <c r="E688" s="19" t="s">
        <v>135</v>
      </c>
      <c r="F688" s="19" t="s">
        <v>161</v>
      </c>
      <c r="G688" s="19" t="s">
        <v>800</v>
      </c>
      <c r="H688" s="19"/>
      <c r="I688" s="24" t="n">
        <f aca="false">IF(AND(ISNUMBER(B688),ISNUMBER(D688)),B688*D688,0)</f>
        <v>454.3</v>
      </c>
    </row>
    <row r="689" customFormat="false" ht="15" hidden="false" customHeight="false" outlineLevel="0" collapsed="false">
      <c r="A689" s="19" t="s">
        <v>812</v>
      </c>
      <c r="B689" s="22" t="n">
        <v>590</v>
      </c>
      <c r="C689" s="19" t="n">
        <v>10</v>
      </c>
      <c r="D689" s="23" t="n">
        <v>1.15</v>
      </c>
      <c r="E689" s="19" t="s">
        <v>145</v>
      </c>
      <c r="F689" s="19" t="s">
        <v>136</v>
      </c>
      <c r="G689" s="19" t="s">
        <v>800</v>
      </c>
      <c r="H689" s="19"/>
      <c r="I689" s="24" t="n">
        <f aca="false">IF(AND(ISNUMBER(B689),ISNUMBER(D689)),B689*D689,0)</f>
        <v>678.5</v>
      </c>
    </row>
    <row r="690" customFormat="false" ht="15" hidden="false" customHeight="false" outlineLevel="0" collapsed="false">
      <c r="A690" s="19" t="s">
        <v>813</v>
      </c>
      <c r="B690" s="22" t="n">
        <v>390</v>
      </c>
      <c r="C690" s="19" t="n">
        <v>28</v>
      </c>
      <c r="D690" s="23" t="n">
        <v>0</v>
      </c>
      <c r="E690" s="19" t="s">
        <v>145</v>
      </c>
      <c r="F690" s="19" t="s">
        <v>161</v>
      </c>
      <c r="G690" s="19" t="s">
        <v>800</v>
      </c>
      <c r="H690" s="19"/>
      <c r="I690" s="24" t="n">
        <f aca="false">IF(AND(ISNUMBER(B690),ISNUMBER(D690)),B690*D690,0)</f>
        <v>0</v>
      </c>
    </row>
    <row r="691" customFormat="false" ht="15" hidden="false" customHeight="false" outlineLevel="0" collapsed="false">
      <c r="A691" s="19" t="s">
        <v>814</v>
      </c>
      <c r="B691" s="22" t="n">
        <v>390</v>
      </c>
      <c r="C691" s="19" t="n">
        <v>10</v>
      </c>
      <c r="D691" s="23" t="n">
        <v>2.51</v>
      </c>
      <c r="E691" s="19" t="s">
        <v>145</v>
      </c>
      <c r="F691" s="19" t="s">
        <v>136</v>
      </c>
      <c r="G691" s="19" t="s">
        <v>800</v>
      </c>
      <c r="H691" s="19"/>
      <c r="I691" s="24" t="n">
        <f aca="false">IF(AND(ISNUMBER(B691),ISNUMBER(D691)),B691*D691,0)</f>
        <v>978.9</v>
      </c>
    </row>
    <row r="692" customFormat="false" ht="15" hidden="false" customHeight="false" outlineLevel="0" collapsed="false">
      <c r="A692" s="19" t="s">
        <v>815</v>
      </c>
      <c r="B692" s="22" t="n">
        <v>390</v>
      </c>
      <c r="C692" s="19" t="n">
        <v>14</v>
      </c>
      <c r="D692" s="23" t="n">
        <v>1.03</v>
      </c>
      <c r="E692" s="19" t="s">
        <v>145</v>
      </c>
      <c r="F692" s="19" t="s">
        <v>136</v>
      </c>
      <c r="G692" s="19" t="s">
        <v>800</v>
      </c>
      <c r="H692" s="19"/>
      <c r="I692" s="24" t="n">
        <f aca="false">IF(AND(ISNUMBER(B692),ISNUMBER(D692)),B692*D692,0)</f>
        <v>401.7</v>
      </c>
    </row>
    <row r="693" customFormat="false" ht="15" hidden="false" customHeight="false" outlineLevel="0" collapsed="false">
      <c r="A693" s="19" t="s">
        <v>816</v>
      </c>
      <c r="B693" s="22" t="n">
        <v>320</v>
      </c>
      <c r="C693" s="19" t="n">
        <v>21</v>
      </c>
      <c r="D693" s="23" t="n">
        <v>0.64</v>
      </c>
      <c r="E693" s="19" t="s">
        <v>135</v>
      </c>
      <c r="F693" s="19" t="s">
        <v>161</v>
      </c>
      <c r="G693" s="19" t="s">
        <v>800</v>
      </c>
      <c r="H693" s="19"/>
      <c r="I693" s="24" t="n">
        <f aca="false">IF(AND(ISNUMBER(B693),ISNUMBER(D693)),B693*D693,0)</f>
        <v>204.8</v>
      </c>
    </row>
    <row r="694" customFormat="false" ht="15" hidden="false" customHeight="false" outlineLevel="0" collapsed="false">
      <c r="A694" s="19" t="s">
        <v>817</v>
      </c>
      <c r="B694" s="22" t="n">
        <v>320</v>
      </c>
      <c r="C694" s="19" t="n">
        <v>10</v>
      </c>
      <c r="D694" s="23" t="n">
        <v>3.06</v>
      </c>
      <c r="E694" s="19" t="s">
        <v>145</v>
      </c>
      <c r="F694" s="19" t="s">
        <v>136</v>
      </c>
      <c r="G694" s="19" t="s">
        <v>800</v>
      </c>
      <c r="H694" s="19"/>
      <c r="I694" s="24" t="n">
        <f aca="false">IF(AND(ISNUMBER(B694),ISNUMBER(D694)),B694*D694,0)</f>
        <v>979.2</v>
      </c>
    </row>
    <row r="695" customFormat="false" ht="15" hidden="false" customHeight="false" outlineLevel="0" collapsed="false">
      <c r="A695" s="19" t="s">
        <v>818</v>
      </c>
      <c r="B695" s="22" t="n">
        <v>320</v>
      </c>
      <c r="C695" s="19" t="n">
        <v>20</v>
      </c>
      <c r="D695" s="23" t="n">
        <v>0.62</v>
      </c>
      <c r="E695" s="19" t="s">
        <v>145</v>
      </c>
      <c r="F695" s="19" t="s">
        <v>136</v>
      </c>
      <c r="G695" s="19" t="s">
        <v>800</v>
      </c>
      <c r="H695" s="19"/>
      <c r="I695" s="24" t="n">
        <f aca="false">IF(AND(ISNUMBER(B695),ISNUMBER(D695)),B695*D695,0)</f>
        <v>198.4</v>
      </c>
    </row>
    <row r="696" customFormat="false" ht="15" hidden="false" customHeight="false" outlineLevel="0" collapsed="false">
      <c r="A696" s="19" t="s">
        <v>819</v>
      </c>
      <c r="B696" s="22" t="n">
        <v>260</v>
      </c>
      <c r="C696" s="19" t="n">
        <v>27</v>
      </c>
      <c r="D696" s="23" t="n">
        <v>0.89</v>
      </c>
      <c r="E696" s="19" t="s">
        <v>168</v>
      </c>
      <c r="F696" s="19" t="s">
        <v>161</v>
      </c>
      <c r="G696" s="19" t="s">
        <v>800</v>
      </c>
      <c r="H696" s="19"/>
      <c r="I696" s="24" t="n">
        <f aca="false">IF(AND(ISNUMBER(B696),ISNUMBER(D696)),B696*D696,0)</f>
        <v>231.4</v>
      </c>
    </row>
    <row r="697" customFormat="false" ht="15" hidden="false" customHeight="false" outlineLevel="0" collapsed="false">
      <c r="A697" s="19" t="s">
        <v>820</v>
      </c>
      <c r="B697" s="22" t="n">
        <v>260</v>
      </c>
      <c r="C697" s="19" t="n">
        <v>17</v>
      </c>
      <c r="D697" s="23" t="n">
        <v>0.89</v>
      </c>
      <c r="E697" s="19" t="s">
        <v>168</v>
      </c>
      <c r="F697" s="19" t="s">
        <v>161</v>
      </c>
      <c r="G697" s="19" t="s">
        <v>800</v>
      </c>
      <c r="H697" s="19" t="s">
        <v>78</v>
      </c>
      <c r="I697" s="24" t="n">
        <f aca="false">IF(AND(ISNUMBER(B697),ISNUMBER(D697)),B697*D697,0)</f>
        <v>231.4</v>
      </c>
    </row>
    <row r="698" customFormat="false" ht="15" hidden="false" customHeight="false" outlineLevel="0" collapsed="false">
      <c r="A698" s="19" t="s">
        <v>821</v>
      </c>
      <c r="B698" s="22" t="n">
        <v>260</v>
      </c>
      <c r="C698" s="19" t="n">
        <v>14</v>
      </c>
      <c r="D698" s="23" t="n">
        <v>1.16</v>
      </c>
      <c r="E698" s="19" t="s">
        <v>145</v>
      </c>
      <c r="F698" s="19" t="s">
        <v>161</v>
      </c>
      <c r="G698" s="19" t="s">
        <v>800</v>
      </c>
      <c r="H698" s="19"/>
      <c r="I698" s="24" t="n">
        <f aca="false">IF(AND(ISNUMBER(B698),ISNUMBER(D698)),B698*D698,0)</f>
        <v>301.6</v>
      </c>
    </row>
    <row r="699" customFormat="false" ht="15" hidden="false" customHeight="false" outlineLevel="0" collapsed="false">
      <c r="A699" s="19" t="s">
        <v>822</v>
      </c>
      <c r="B699" s="22" t="n">
        <v>260</v>
      </c>
      <c r="C699" s="19" t="n">
        <v>19</v>
      </c>
      <c r="D699" s="23" t="n">
        <v>1.26</v>
      </c>
      <c r="E699" s="19" t="s">
        <v>135</v>
      </c>
      <c r="F699" s="19" t="s">
        <v>161</v>
      </c>
      <c r="G699" s="19" t="s">
        <v>800</v>
      </c>
      <c r="H699" s="19"/>
      <c r="I699" s="24" t="n">
        <f aca="false">IF(AND(ISNUMBER(B699),ISNUMBER(D699)),B699*D699,0)</f>
        <v>327.6</v>
      </c>
    </row>
    <row r="700" customFormat="false" ht="15" hidden="false" customHeight="false" outlineLevel="0" collapsed="false">
      <c r="A700" s="19" t="s">
        <v>823</v>
      </c>
      <c r="B700" s="22" t="n">
        <v>260</v>
      </c>
      <c r="C700" s="19" t="n">
        <v>17</v>
      </c>
      <c r="D700" s="23" t="n">
        <v>0</v>
      </c>
      <c r="E700" s="19" t="s">
        <v>145</v>
      </c>
      <c r="F700" s="19" t="s">
        <v>161</v>
      </c>
      <c r="G700" s="19" t="s">
        <v>800</v>
      </c>
      <c r="H700" s="19"/>
      <c r="I700" s="24" t="n">
        <f aca="false">IF(AND(ISNUMBER(B700),ISNUMBER(D700)),B700*D700,0)</f>
        <v>0</v>
      </c>
    </row>
    <row r="701" customFormat="false" ht="15" hidden="false" customHeight="false" outlineLevel="0" collapsed="false">
      <c r="A701" s="19" t="s">
        <v>824</v>
      </c>
      <c r="B701" s="22" t="n">
        <v>260</v>
      </c>
      <c r="C701" s="19" t="n">
        <v>9</v>
      </c>
      <c r="D701" s="23" t="n">
        <v>1.17</v>
      </c>
      <c r="E701" s="19" t="s">
        <v>145</v>
      </c>
      <c r="F701" s="19" t="s">
        <v>136</v>
      </c>
      <c r="G701" s="19" t="s">
        <v>800</v>
      </c>
      <c r="H701" s="19"/>
      <c r="I701" s="24" t="n">
        <f aca="false">IF(AND(ISNUMBER(B701),ISNUMBER(D701)),B701*D701,0)</f>
        <v>304.2</v>
      </c>
    </row>
    <row r="702" customFormat="false" ht="15" hidden="false" customHeight="false" outlineLevel="0" collapsed="false">
      <c r="A702" s="19" t="s">
        <v>825</v>
      </c>
      <c r="B702" s="22" t="n">
        <v>260</v>
      </c>
      <c r="C702" s="19" t="n">
        <v>19</v>
      </c>
      <c r="D702" s="23" t="n">
        <v>0.77</v>
      </c>
      <c r="E702" s="19" t="s">
        <v>157</v>
      </c>
      <c r="F702" s="19" t="s">
        <v>136</v>
      </c>
      <c r="G702" s="19" t="s">
        <v>800</v>
      </c>
      <c r="H702" s="19" t="s">
        <v>78</v>
      </c>
      <c r="I702" s="24" t="n">
        <f aca="false">IF(AND(ISNUMBER(B702),ISNUMBER(D702)),B702*D702,0)</f>
        <v>200.2</v>
      </c>
    </row>
    <row r="703" customFormat="false" ht="15" hidden="false" customHeight="false" outlineLevel="0" collapsed="false">
      <c r="A703" s="19" t="s">
        <v>826</v>
      </c>
      <c r="B703" s="22" t="n">
        <v>260</v>
      </c>
      <c r="C703" s="19" t="n">
        <v>14</v>
      </c>
      <c r="D703" s="23" t="n">
        <v>0.78</v>
      </c>
      <c r="E703" s="19" t="s">
        <v>135</v>
      </c>
      <c r="F703" s="19" t="s">
        <v>136</v>
      </c>
      <c r="G703" s="19" t="s">
        <v>800</v>
      </c>
      <c r="H703" s="19"/>
      <c r="I703" s="24" t="n">
        <f aca="false">IF(AND(ISNUMBER(B703),ISNUMBER(D703)),B703*D703,0)</f>
        <v>202.8</v>
      </c>
    </row>
    <row r="704" customFormat="false" ht="15" hidden="false" customHeight="false" outlineLevel="0" collapsed="false">
      <c r="A704" s="19" t="s">
        <v>827</v>
      </c>
      <c r="B704" s="22" t="n">
        <v>210</v>
      </c>
      <c r="C704" s="19" t="n">
        <v>18</v>
      </c>
      <c r="D704" s="23" t="n">
        <v>1.16</v>
      </c>
      <c r="E704" s="19" t="s">
        <v>145</v>
      </c>
      <c r="F704" s="19" t="s">
        <v>161</v>
      </c>
      <c r="G704" s="19" t="s">
        <v>800</v>
      </c>
      <c r="H704" s="19"/>
      <c r="I704" s="24" t="n">
        <f aca="false">IF(AND(ISNUMBER(B704),ISNUMBER(D704)),B704*D704,0)</f>
        <v>243.6</v>
      </c>
    </row>
    <row r="705" customFormat="false" ht="15" hidden="false" customHeight="false" outlineLevel="0" collapsed="false">
      <c r="A705" s="19" t="s">
        <v>828</v>
      </c>
      <c r="B705" s="22" t="n">
        <v>210</v>
      </c>
      <c r="C705" s="19" t="n">
        <v>25</v>
      </c>
      <c r="D705" s="23" t="n">
        <v>2.1</v>
      </c>
      <c r="E705" s="19" t="s">
        <v>145</v>
      </c>
      <c r="F705" s="19" t="s">
        <v>161</v>
      </c>
      <c r="G705" s="19" t="s">
        <v>800</v>
      </c>
      <c r="H705" s="19"/>
      <c r="I705" s="24" t="n">
        <f aca="false">IF(AND(ISNUMBER(B705),ISNUMBER(D705)),B705*D705,0)</f>
        <v>441</v>
      </c>
    </row>
    <row r="706" customFormat="false" ht="15" hidden="false" customHeight="false" outlineLevel="0" collapsed="false">
      <c r="A706" s="19" t="s">
        <v>829</v>
      </c>
      <c r="B706" s="22" t="n">
        <v>210</v>
      </c>
      <c r="C706" s="19" t="n">
        <v>17</v>
      </c>
      <c r="D706" s="23" t="n">
        <v>0</v>
      </c>
      <c r="E706" s="19" t="s">
        <v>145</v>
      </c>
      <c r="F706" s="19" t="s">
        <v>161</v>
      </c>
      <c r="G706" s="19" t="s">
        <v>800</v>
      </c>
      <c r="H706" s="19"/>
      <c r="I706" s="24" t="n">
        <f aca="false">IF(AND(ISNUMBER(B706),ISNUMBER(D706)),B706*D706,0)</f>
        <v>0</v>
      </c>
    </row>
    <row r="707" customFormat="false" ht="15" hidden="false" customHeight="false" outlineLevel="0" collapsed="false">
      <c r="A707" s="19" t="s">
        <v>830</v>
      </c>
      <c r="B707" s="22" t="n">
        <v>210</v>
      </c>
      <c r="C707" s="19" t="n">
        <v>18</v>
      </c>
      <c r="D707" s="23" t="n">
        <v>0.69</v>
      </c>
      <c r="E707" s="19" t="s">
        <v>145</v>
      </c>
      <c r="F707" s="19" t="s">
        <v>161</v>
      </c>
      <c r="G707" s="19" t="s">
        <v>800</v>
      </c>
      <c r="H707" s="19"/>
      <c r="I707" s="24" t="n">
        <f aca="false">IF(AND(ISNUMBER(B707),ISNUMBER(D707)),B707*D707,0)</f>
        <v>144.9</v>
      </c>
    </row>
    <row r="708" customFormat="false" ht="15" hidden="false" customHeight="false" outlineLevel="0" collapsed="false">
      <c r="A708" s="19" t="s">
        <v>831</v>
      </c>
      <c r="B708" s="22" t="n">
        <v>210</v>
      </c>
      <c r="C708" s="19" t="n">
        <v>25</v>
      </c>
      <c r="D708" s="23" t="n">
        <v>0.69</v>
      </c>
      <c r="E708" s="19" t="s">
        <v>145</v>
      </c>
      <c r="F708" s="19" t="s">
        <v>161</v>
      </c>
      <c r="G708" s="19" t="s">
        <v>800</v>
      </c>
      <c r="H708" s="19"/>
      <c r="I708" s="24" t="n">
        <f aca="false">IF(AND(ISNUMBER(B708),ISNUMBER(D708)),B708*D708,0)</f>
        <v>144.9</v>
      </c>
    </row>
    <row r="709" customFormat="false" ht="15" hidden="false" customHeight="false" outlineLevel="0" collapsed="false">
      <c r="A709" s="19" t="s">
        <v>832</v>
      </c>
      <c r="B709" s="22" t="n">
        <v>210</v>
      </c>
      <c r="C709" s="19" t="n">
        <v>22</v>
      </c>
      <c r="D709" s="23" t="n">
        <v>1.08</v>
      </c>
      <c r="E709" s="19" t="s">
        <v>145</v>
      </c>
      <c r="F709" s="19" t="s">
        <v>136</v>
      </c>
      <c r="G709" s="19" t="s">
        <v>800</v>
      </c>
      <c r="H709" s="19"/>
      <c r="I709" s="24" t="n">
        <f aca="false">IF(AND(ISNUMBER(B709),ISNUMBER(D709)),B709*D709,0)</f>
        <v>226.8</v>
      </c>
    </row>
    <row r="710" customFormat="false" ht="15" hidden="false" customHeight="false" outlineLevel="0" collapsed="false">
      <c r="A710" s="19" t="s">
        <v>833</v>
      </c>
      <c r="B710" s="22" t="n">
        <v>210</v>
      </c>
      <c r="C710" s="19" t="n">
        <v>26</v>
      </c>
      <c r="D710" s="23" t="n">
        <v>0</v>
      </c>
      <c r="E710" s="19" t="s">
        <v>145</v>
      </c>
      <c r="F710" s="19" t="s">
        <v>136</v>
      </c>
      <c r="G710" s="19" t="s">
        <v>800</v>
      </c>
      <c r="H710" s="19"/>
      <c r="I710" s="24" t="n">
        <f aca="false">IF(AND(ISNUMBER(B710),ISNUMBER(D710)),B710*D710,0)</f>
        <v>0</v>
      </c>
    </row>
    <row r="711" customFormat="false" ht="15" hidden="false" customHeight="false" outlineLevel="0" collapsed="false">
      <c r="A711" s="19" t="s">
        <v>834</v>
      </c>
      <c r="B711" s="22" t="n">
        <v>210</v>
      </c>
      <c r="C711" s="19" t="n">
        <v>10</v>
      </c>
      <c r="D711" s="23" t="n">
        <v>0</v>
      </c>
      <c r="E711" s="19" t="s">
        <v>145</v>
      </c>
      <c r="F711" s="19" t="s">
        <v>136</v>
      </c>
      <c r="G711" s="19" t="s">
        <v>800</v>
      </c>
      <c r="H711" s="19"/>
      <c r="I711" s="24" t="n">
        <f aca="false">IF(AND(ISNUMBER(B711),ISNUMBER(D711)),B711*D711,0)</f>
        <v>0</v>
      </c>
    </row>
    <row r="712" customFormat="false" ht="15" hidden="false" customHeight="false" outlineLevel="0" collapsed="false">
      <c r="A712" s="19" t="s">
        <v>835</v>
      </c>
      <c r="B712" s="22" t="n">
        <v>210</v>
      </c>
      <c r="C712" s="19" t="n">
        <v>4</v>
      </c>
      <c r="D712" s="23" t="n">
        <v>0.69</v>
      </c>
      <c r="E712" s="19" t="s">
        <v>145</v>
      </c>
      <c r="F712" s="19" t="s">
        <v>136</v>
      </c>
      <c r="G712" s="19" t="s">
        <v>800</v>
      </c>
      <c r="H712" s="19"/>
      <c r="I712" s="24" t="n">
        <f aca="false">IF(AND(ISNUMBER(B712),ISNUMBER(D712)),B712*D712,0)</f>
        <v>144.9</v>
      </c>
    </row>
    <row r="713" customFormat="false" ht="15" hidden="false" customHeight="false" outlineLevel="0" collapsed="false">
      <c r="A713" s="19" t="s">
        <v>836</v>
      </c>
      <c r="B713" s="22" t="n">
        <v>170</v>
      </c>
      <c r="C713" s="19" t="n">
        <v>26</v>
      </c>
      <c r="D713" s="23" t="n">
        <v>1.33</v>
      </c>
      <c r="E713" s="19" t="s">
        <v>145</v>
      </c>
      <c r="F713" s="19" t="s">
        <v>140</v>
      </c>
      <c r="G713" s="19" t="s">
        <v>800</v>
      </c>
      <c r="H713" s="19"/>
      <c r="I713" s="24" t="n">
        <f aca="false">IF(AND(ISNUMBER(B713),ISNUMBER(D713)),B713*D713,0)</f>
        <v>226.1</v>
      </c>
    </row>
    <row r="714" customFormat="false" ht="15" hidden="false" customHeight="false" outlineLevel="0" collapsed="false">
      <c r="A714" s="19" t="s">
        <v>837</v>
      </c>
      <c r="B714" s="22" t="n">
        <v>170</v>
      </c>
      <c r="C714" s="19" t="n">
        <v>29</v>
      </c>
      <c r="D714" s="23" t="n">
        <v>0.5</v>
      </c>
      <c r="E714" s="19" t="s">
        <v>145</v>
      </c>
      <c r="F714" s="19" t="s">
        <v>140</v>
      </c>
      <c r="G714" s="19" t="s">
        <v>800</v>
      </c>
      <c r="H714" s="19"/>
      <c r="I714" s="24" t="n">
        <f aca="false">IF(AND(ISNUMBER(B714),ISNUMBER(D714)),B714*D714,0)</f>
        <v>85</v>
      </c>
    </row>
    <row r="715" customFormat="false" ht="15" hidden="false" customHeight="false" outlineLevel="0" collapsed="false">
      <c r="A715" s="19" t="s">
        <v>838</v>
      </c>
      <c r="B715" s="22" t="n">
        <v>170</v>
      </c>
      <c r="C715" s="19" t="n">
        <v>17</v>
      </c>
      <c r="D715" s="23" t="n">
        <v>0</v>
      </c>
      <c r="E715" s="19" t="s">
        <v>145</v>
      </c>
      <c r="F715" s="19" t="s">
        <v>161</v>
      </c>
      <c r="G715" s="19" t="s">
        <v>800</v>
      </c>
      <c r="H715" s="19"/>
      <c r="I715" s="24" t="n">
        <f aca="false">IF(AND(ISNUMBER(B715),ISNUMBER(D715)),B715*D715,0)</f>
        <v>0</v>
      </c>
    </row>
    <row r="716" customFormat="false" ht="15" hidden="false" customHeight="false" outlineLevel="0" collapsed="false">
      <c r="A716" s="19" t="s">
        <v>839</v>
      </c>
      <c r="B716" s="22" t="n">
        <v>170</v>
      </c>
      <c r="C716" s="19" t="n">
        <v>18</v>
      </c>
      <c r="D716" s="23" t="n">
        <v>0.92</v>
      </c>
      <c r="E716" s="19" t="s">
        <v>145</v>
      </c>
      <c r="F716" s="19" t="s">
        <v>161</v>
      </c>
      <c r="G716" s="19" t="s">
        <v>800</v>
      </c>
      <c r="H716" s="19" t="s">
        <v>78</v>
      </c>
      <c r="I716" s="24" t="n">
        <f aca="false">IF(AND(ISNUMBER(B716),ISNUMBER(D716)),B716*D716,0)</f>
        <v>156.4</v>
      </c>
    </row>
    <row r="717" customFormat="false" ht="15" hidden="false" customHeight="false" outlineLevel="0" collapsed="false">
      <c r="A717" s="19" t="s">
        <v>840</v>
      </c>
      <c r="B717" s="22" t="n">
        <v>170</v>
      </c>
      <c r="C717" s="19" t="n">
        <v>14</v>
      </c>
      <c r="D717" s="23" t="n">
        <v>0.92</v>
      </c>
      <c r="E717" s="19" t="s">
        <v>145</v>
      </c>
      <c r="F717" s="19" t="s">
        <v>161</v>
      </c>
      <c r="G717" s="19" t="s">
        <v>800</v>
      </c>
      <c r="H717" s="19" t="s">
        <v>78</v>
      </c>
      <c r="I717" s="24" t="n">
        <f aca="false">IF(AND(ISNUMBER(B717),ISNUMBER(D717)),B717*D717,0)</f>
        <v>156.4</v>
      </c>
    </row>
    <row r="718" customFormat="false" ht="15" hidden="false" customHeight="false" outlineLevel="0" collapsed="false">
      <c r="A718" s="19" t="s">
        <v>841</v>
      </c>
      <c r="B718" s="22" t="n">
        <v>170</v>
      </c>
      <c r="C718" s="19" t="n">
        <v>23</v>
      </c>
      <c r="D718" s="23" t="n">
        <v>1.2</v>
      </c>
      <c r="E718" s="19" t="s">
        <v>145</v>
      </c>
      <c r="F718" s="19" t="s">
        <v>140</v>
      </c>
      <c r="G718" s="19" t="s">
        <v>800</v>
      </c>
      <c r="H718" s="19"/>
      <c r="I718" s="24" t="n">
        <f aca="false">IF(AND(ISNUMBER(B718),ISNUMBER(D718)),B718*D718,0)</f>
        <v>204</v>
      </c>
    </row>
    <row r="719" customFormat="false" ht="15" hidden="false" customHeight="false" outlineLevel="0" collapsed="false">
      <c r="A719" s="19" t="s">
        <v>842</v>
      </c>
      <c r="B719" s="22" t="n">
        <v>170</v>
      </c>
      <c r="C719" s="19" t="n">
        <v>18</v>
      </c>
      <c r="D719" s="23" t="n">
        <v>2.38</v>
      </c>
      <c r="E719" s="19" t="s">
        <v>145</v>
      </c>
      <c r="F719" s="19" t="s">
        <v>136</v>
      </c>
      <c r="G719" s="19" t="s">
        <v>800</v>
      </c>
      <c r="H719" s="19"/>
      <c r="I719" s="24" t="n">
        <f aca="false">IF(AND(ISNUMBER(B719),ISNUMBER(D719)),B719*D719,0)</f>
        <v>404.6</v>
      </c>
    </row>
    <row r="720" customFormat="false" ht="15" hidden="false" customHeight="false" outlineLevel="0" collapsed="false">
      <c r="A720" s="19" t="s">
        <v>843</v>
      </c>
      <c r="B720" s="22" t="n">
        <v>170</v>
      </c>
      <c r="C720" s="19" t="n">
        <v>26</v>
      </c>
      <c r="D720" s="23" t="n">
        <v>0</v>
      </c>
      <c r="E720" s="19" t="s">
        <v>157</v>
      </c>
      <c r="F720" s="19" t="s">
        <v>136</v>
      </c>
      <c r="G720" s="19" t="s">
        <v>800</v>
      </c>
      <c r="H720" s="19"/>
      <c r="I720" s="24" t="n">
        <f aca="false">IF(AND(ISNUMBER(B720),ISNUMBER(D720)),B720*D720,0)</f>
        <v>0</v>
      </c>
    </row>
    <row r="721" customFormat="false" ht="15" hidden="false" customHeight="false" outlineLevel="0" collapsed="false">
      <c r="A721" s="19" t="s">
        <v>844</v>
      </c>
      <c r="B721" s="22" t="n">
        <v>170</v>
      </c>
      <c r="C721" s="19" t="n">
        <v>29</v>
      </c>
      <c r="D721" s="23" t="n">
        <v>6.98</v>
      </c>
      <c r="E721" s="19" t="s">
        <v>157</v>
      </c>
      <c r="F721" s="19" t="s">
        <v>136</v>
      </c>
      <c r="G721" s="19" t="s">
        <v>800</v>
      </c>
      <c r="H721" s="19"/>
      <c r="I721" s="24" t="n">
        <f aca="false">IF(AND(ISNUMBER(B721),ISNUMBER(D721)),B721*D721,0)</f>
        <v>1186.6</v>
      </c>
    </row>
    <row r="722" customFormat="false" ht="15" hidden="false" customHeight="false" outlineLevel="0" collapsed="false">
      <c r="A722" s="19" t="s">
        <v>845</v>
      </c>
      <c r="B722" s="22" t="n">
        <v>140</v>
      </c>
      <c r="C722" s="19" t="n">
        <v>23</v>
      </c>
      <c r="D722" s="23" t="n">
        <v>0.92</v>
      </c>
      <c r="E722" s="19" t="s">
        <v>145</v>
      </c>
      <c r="F722" s="19" t="s">
        <v>161</v>
      </c>
      <c r="G722" s="19" t="s">
        <v>800</v>
      </c>
      <c r="H722" s="19"/>
      <c r="I722" s="24" t="n">
        <f aca="false">IF(AND(ISNUMBER(B722),ISNUMBER(D722)),B722*D722,0)</f>
        <v>128.8</v>
      </c>
    </row>
    <row r="723" customFormat="false" ht="15" hidden="false" customHeight="false" outlineLevel="0" collapsed="false">
      <c r="A723" s="19" t="s">
        <v>846</v>
      </c>
      <c r="B723" s="22" t="n">
        <v>140</v>
      </c>
      <c r="C723" s="19" t="n">
        <v>13</v>
      </c>
      <c r="D723" s="23" t="n">
        <v>0</v>
      </c>
      <c r="E723" s="19" t="s">
        <v>145</v>
      </c>
      <c r="F723" s="19" t="s">
        <v>161</v>
      </c>
      <c r="G723" s="19" t="s">
        <v>800</v>
      </c>
      <c r="H723" s="19"/>
      <c r="I723" s="24" t="n">
        <f aca="false">IF(AND(ISNUMBER(B723),ISNUMBER(D723)),B723*D723,0)</f>
        <v>0</v>
      </c>
    </row>
    <row r="724" customFormat="false" ht="15" hidden="false" customHeight="false" outlineLevel="0" collapsed="false">
      <c r="A724" s="19" t="s">
        <v>847</v>
      </c>
      <c r="B724" s="22" t="n">
        <v>140</v>
      </c>
      <c r="C724" s="19" t="n">
        <v>10</v>
      </c>
      <c r="D724" s="23" t="n">
        <v>0</v>
      </c>
      <c r="E724" s="19" t="s">
        <v>157</v>
      </c>
      <c r="F724" s="19" t="s">
        <v>136</v>
      </c>
      <c r="G724" s="19" t="s">
        <v>800</v>
      </c>
      <c r="H724" s="19"/>
      <c r="I724" s="24" t="n">
        <f aca="false">IF(AND(ISNUMBER(B724),ISNUMBER(D724)),B724*D724,0)</f>
        <v>0</v>
      </c>
    </row>
    <row r="725" customFormat="false" ht="15" hidden="false" customHeight="false" outlineLevel="0" collapsed="false">
      <c r="A725" s="19" t="s">
        <v>848</v>
      </c>
      <c r="B725" s="22" t="n">
        <v>140</v>
      </c>
      <c r="C725" s="19" t="n">
        <v>8</v>
      </c>
      <c r="D725" s="23" t="n">
        <v>4.1</v>
      </c>
      <c r="E725" s="19" t="s">
        <v>145</v>
      </c>
      <c r="F725" s="19" t="s">
        <v>136</v>
      </c>
      <c r="G725" s="19" t="s">
        <v>800</v>
      </c>
      <c r="H725" s="19"/>
      <c r="I725" s="24" t="n">
        <f aca="false">IF(AND(ISNUMBER(B725),ISNUMBER(D725)),B725*D725,0)</f>
        <v>574</v>
      </c>
    </row>
    <row r="726" customFormat="false" ht="15" hidden="false" customHeight="false" outlineLevel="0" collapsed="false">
      <c r="A726" s="19" t="s">
        <v>849</v>
      </c>
      <c r="B726" s="22" t="n">
        <v>140</v>
      </c>
      <c r="C726" s="19" t="n">
        <v>12</v>
      </c>
      <c r="D726" s="23" t="n">
        <v>0</v>
      </c>
      <c r="E726" s="19" t="s">
        <v>145</v>
      </c>
      <c r="F726" s="19" t="s">
        <v>136</v>
      </c>
      <c r="G726" s="19" t="s">
        <v>800</v>
      </c>
      <c r="H726" s="19"/>
      <c r="I726" s="24" t="n">
        <f aca="false">IF(AND(ISNUMBER(B726),ISNUMBER(D726)),B726*D726,0)</f>
        <v>0</v>
      </c>
    </row>
    <row r="727" customFormat="false" ht="15" hidden="false" customHeight="false" outlineLevel="0" collapsed="false">
      <c r="A727" s="19" t="s">
        <v>850</v>
      </c>
      <c r="B727" s="22" t="n">
        <v>140</v>
      </c>
      <c r="C727" s="19" t="n">
        <v>13</v>
      </c>
      <c r="D727" s="23" t="n">
        <v>0</v>
      </c>
      <c r="E727" s="19" t="s">
        <v>145</v>
      </c>
      <c r="F727" s="19" t="s">
        <v>136</v>
      </c>
      <c r="G727" s="19" t="s">
        <v>800</v>
      </c>
      <c r="H727" s="19"/>
      <c r="I727" s="24" t="n">
        <f aca="false">IF(AND(ISNUMBER(B727),ISNUMBER(D727)),B727*D727,0)</f>
        <v>0</v>
      </c>
    </row>
    <row r="728" customFormat="false" ht="15" hidden="false" customHeight="false" outlineLevel="0" collapsed="false">
      <c r="A728" s="19" t="s">
        <v>851</v>
      </c>
      <c r="B728" s="22" t="n">
        <v>140</v>
      </c>
      <c r="C728" s="19" t="n">
        <v>21</v>
      </c>
      <c r="D728" s="23" t="n">
        <v>14</v>
      </c>
      <c r="E728" s="19" t="s">
        <v>157</v>
      </c>
      <c r="F728" s="19" t="s">
        <v>136</v>
      </c>
      <c r="G728" s="19" t="s">
        <v>800</v>
      </c>
      <c r="H728" s="19"/>
      <c r="I728" s="24" t="n">
        <f aca="false">IF(AND(ISNUMBER(B728),ISNUMBER(D728)),B728*D728,0)</f>
        <v>1960</v>
      </c>
    </row>
    <row r="729" customFormat="false" ht="15" hidden="false" customHeight="false" outlineLevel="0" collapsed="false">
      <c r="A729" s="19" t="s">
        <v>852</v>
      </c>
      <c r="B729" s="22" t="n">
        <v>140</v>
      </c>
      <c r="C729" s="19" t="n">
        <v>23</v>
      </c>
      <c r="D729" s="23" t="n">
        <v>0</v>
      </c>
      <c r="E729" s="19" t="s">
        <v>157</v>
      </c>
      <c r="F729" s="19" t="s">
        <v>136</v>
      </c>
      <c r="G729" s="19" t="s">
        <v>800</v>
      </c>
      <c r="H729" s="19"/>
      <c r="I729" s="24" t="n">
        <f aca="false">IF(AND(ISNUMBER(B729),ISNUMBER(D729)),B729*D729,0)</f>
        <v>0</v>
      </c>
    </row>
    <row r="730" customFormat="false" ht="15" hidden="false" customHeight="false" outlineLevel="0" collapsed="false">
      <c r="A730" s="19" t="s">
        <v>853</v>
      </c>
      <c r="B730" s="22" t="n">
        <v>140</v>
      </c>
      <c r="C730" s="19" t="n">
        <v>25</v>
      </c>
      <c r="D730" s="23" t="n">
        <v>7.22</v>
      </c>
      <c r="E730" s="19" t="s">
        <v>145</v>
      </c>
      <c r="F730" s="19" t="s">
        <v>136</v>
      </c>
      <c r="G730" s="19" t="s">
        <v>800</v>
      </c>
      <c r="H730" s="19"/>
      <c r="I730" s="24" t="n">
        <f aca="false">IF(AND(ISNUMBER(B730),ISNUMBER(D730)),B730*D730,0)</f>
        <v>1010.8</v>
      </c>
    </row>
    <row r="731" customFormat="false" ht="15" hidden="false" customHeight="false" outlineLevel="0" collapsed="false">
      <c r="A731" s="19" t="s">
        <v>854</v>
      </c>
      <c r="B731" s="22" t="n">
        <v>110</v>
      </c>
      <c r="C731" s="19" t="n">
        <v>10</v>
      </c>
      <c r="D731" s="23" t="n">
        <v>2.95</v>
      </c>
      <c r="E731" s="19" t="s">
        <v>168</v>
      </c>
      <c r="F731" s="19" t="s">
        <v>161</v>
      </c>
      <c r="G731" s="19" t="s">
        <v>800</v>
      </c>
      <c r="H731" s="19"/>
      <c r="I731" s="24" t="n">
        <f aca="false">IF(AND(ISNUMBER(B731),ISNUMBER(D731)),B731*D731,0)</f>
        <v>324.5</v>
      </c>
    </row>
    <row r="732" customFormat="false" ht="15" hidden="false" customHeight="false" outlineLevel="0" collapsed="false">
      <c r="A732" s="19" t="s">
        <v>855</v>
      </c>
      <c r="B732" s="22" t="n">
        <v>110</v>
      </c>
      <c r="C732" s="19" t="n">
        <v>12</v>
      </c>
      <c r="D732" s="23" t="n">
        <v>2.95</v>
      </c>
      <c r="E732" s="19" t="s">
        <v>168</v>
      </c>
      <c r="F732" s="19" t="s">
        <v>161</v>
      </c>
      <c r="G732" s="19" t="s">
        <v>800</v>
      </c>
      <c r="H732" s="19"/>
      <c r="I732" s="24" t="n">
        <f aca="false">IF(AND(ISNUMBER(B732),ISNUMBER(D732)),B732*D732,0)</f>
        <v>324.5</v>
      </c>
    </row>
    <row r="733" customFormat="false" ht="15" hidden="false" customHeight="false" outlineLevel="0" collapsed="false">
      <c r="A733" s="19" t="s">
        <v>856</v>
      </c>
      <c r="B733" s="22" t="n">
        <v>110</v>
      </c>
      <c r="C733" s="19" t="n">
        <v>10</v>
      </c>
      <c r="D733" s="23" t="n">
        <v>0.96</v>
      </c>
      <c r="E733" s="19" t="s">
        <v>145</v>
      </c>
      <c r="F733" s="19" t="s">
        <v>161</v>
      </c>
      <c r="G733" s="19" t="s">
        <v>800</v>
      </c>
      <c r="H733" s="19"/>
      <c r="I733" s="24" t="n">
        <f aca="false">IF(AND(ISNUMBER(B733),ISNUMBER(D733)),B733*D733,0)</f>
        <v>105.6</v>
      </c>
    </row>
    <row r="734" customFormat="false" ht="15" hidden="false" customHeight="false" outlineLevel="0" collapsed="false">
      <c r="A734" s="19" t="s">
        <v>857</v>
      </c>
      <c r="B734" s="22" t="n">
        <v>110</v>
      </c>
      <c r="C734" s="19" t="n">
        <v>26</v>
      </c>
      <c r="D734" s="23" t="n">
        <v>0</v>
      </c>
      <c r="E734" s="19" t="s">
        <v>145</v>
      </c>
      <c r="F734" s="19" t="s">
        <v>161</v>
      </c>
      <c r="G734" s="19" t="s">
        <v>800</v>
      </c>
      <c r="H734" s="19"/>
      <c r="I734" s="24" t="n">
        <f aca="false">IF(AND(ISNUMBER(B734),ISNUMBER(D734)),B734*D734,0)</f>
        <v>0</v>
      </c>
    </row>
    <row r="735" customFormat="false" ht="15" hidden="false" customHeight="false" outlineLevel="0" collapsed="false">
      <c r="A735" s="19" t="s">
        <v>858</v>
      </c>
      <c r="B735" s="22" t="n">
        <v>110</v>
      </c>
      <c r="C735" s="19" t="n">
        <v>23</v>
      </c>
      <c r="D735" s="23" t="n">
        <v>0</v>
      </c>
      <c r="E735" s="19" t="s">
        <v>145</v>
      </c>
      <c r="F735" s="19" t="s">
        <v>161</v>
      </c>
      <c r="G735" s="19" t="s">
        <v>800</v>
      </c>
      <c r="H735" s="19"/>
      <c r="I735" s="24" t="n">
        <f aca="false">IF(AND(ISNUMBER(B735),ISNUMBER(D735)),B735*D735,0)</f>
        <v>0</v>
      </c>
    </row>
    <row r="736" customFormat="false" ht="15" hidden="false" customHeight="false" outlineLevel="0" collapsed="false">
      <c r="A736" s="19" t="s">
        <v>859</v>
      </c>
      <c r="B736" s="22" t="n">
        <v>110</v>
      </c>
      <c r="C736" s="19" t="n">
        <v>18</v>
      </c>
      <c r="D736" s="23" t="n">
        <v>0.96</v>
      </c>
      <c r="E736" s="19" t="s">
        <v>145</v>
      </c>
      <c r="F736" s="19" t="s">
        <v>161</v>
      </c>
      <c r="G736" s="19" t="s">
        <v>800</v>
      </c>
      <c r="H736" s="19"/>
      <c r="I736" s="24" t="n">
        <f aca="false">IF(AND(ISNUMBER(B736),ISNUMBER(D736)),B736*D736,0)</f>
        <v>105.6</v>
      </c>
    </row>
    <row r="737" customFormat="false" ht="15" hidden="false" customHeight="false" outlineLevel="0" collapsed="false">
      <c r="A737" s="19" t="s">
        <v>860</v>
      </c>
      <c r="B737" s="22" t="n">
        <v>110</v>
      </c>
      <c r="C737" s="19" t="n">
        <v>21</v>
      </c>
      <c r="D737" s="23" t="n">
        <v>0.47</v>
      </c>
      <c r="E737" s="19" t="s">
        <v>145</v>
      </c>
      <c r="F737" s="19" t="s">
        <v>136</v>
      </c>
      <c r="G737" s="19" t="s">
        <v>800</v>
      </c>
      <c r="H737" s="19"/>
      <c r="I737" s="24" t="n">
        <f aca="false">IF(AND(ISNUMBER(B737),ISNUMBER(D737)),B737*D737,0)</f>
        <v>51.7</v>
      </c>
    </row>
    <row r="738" customFormat="false" ht="15" hidden="false" customHeight="false" outlineLevel="0" collapsed="false">
      <c r="A738" s="19" t="s">
        <v>861</v>
      </c>
      <c r="B738" s="22" t="n">
        <v>110</v>
      </c>
      <c r="C738" s="19" t="n">
        <v>29</v>
      </c>
      <c r="D738" s="23" t="n">
        <v>0.7</v>
      </c>
      <c r="E738" s="19" t="s">
        <v>145</v>
      </c>
      <c r="F738" s="19" t="s">
        <v>136</v>
      </c>
      <c r="G738" s="19" t="s">
        <v>800</v>
      </c>
      <c r="H738" s="19"/>
      <c r="I738" s="24" t="n">
        <f aca="false">IF(AND(ISNUMBER(B738),ISNUMBER(D738)),B738*D738,0)</f>
        <v>77</v>
      </c>
    </row>
    <row r="739" customFormat="false" ht="15" hidden="false" customHeight="false" outlineLevel="0" collapsed="false">
      <c r="A739" s="19" t="s">
        <v>862</v>
      </c>
      <c r="B739" s="22" t="n">
        <v>110</v>
      </c>
      <c r="C739" s="19" t="n">
        <v>29</v>
      </c>
      <c r="D739" s="23" t="n">
        <v>1.03</v>
      </c>
      <c r="E739" s="19" t="s">
        <v>145</v>
      </c>
      <c r="F739" s="19" t="s">
        <v>136</v>
      </c>
      <c r="G739" s="19" t="s">
        <v>800</v>
      </c>
      <c r="H739" s="19"/>
      <c r="I739" s="24" t="n">
        <f aca="false">IF(AND(ISNUMBER(B739),ISNUMBER(D739)),B739*D739,0)</f>
        <v>113.3</v>
      </c>
    </row>
    <row r="740" customFormat="false" ht="15" hidden="false" customHeight="false" outlineLevel="0" collapsed="false">
      <c r="A740" s="19" t="s">
        <v>863</v>
      </c>
      <c r="B740" s="22" t="n">
        <v>6600</v>
      </c>
      <c r="C740" s="19" t="n">
        <v>26</v>
      </c>
      <c r="D740" s="23" t="n">
        <v>0</v>
      </c>
      <c r="E740" s="19" t="s">
        <v>157</v>
      </c>
      <c r="F740" s="19" t="s">
        <v>161</v>
      </c>
      <c r="G740" s="19" t="s">
        <v>864</v>
      </c>
      <c r="H740" s="19"/>
      <c r="I740" s="24" t="n">
        <f aca="false">IF(AND(ISNUMBER(B740),ISNUMBER(D740)),B740*D740,0)</f>
        <v>0</v>
      </c>
    </row>
    <row r="741" customFormat="false" ht="15" hidden="false" customHeight="false" outlineLevel="0" collapsed="false">
      <c r="A741" s="19" t="s">
        <v>865</v>
      </c>
      <c r="B741" s="22" t="n">
        <v>5400</v>
      </c>
      <c r="C741" s="19" t="n">
        <v>29</v>
      </c>
      <c r="D741" s="23" t="n">
        <v>0</v>
      </c>
      <c r="E741" s="19" t="s">
        <v>202</v>
      </c>
      <c r="F741" s="19" t="s">
        <v>136</v>
      </c>
      <c r="G741" s="19" t="s">
        <v>864</v>
      </c>
      <c r="H741" s="19"/>
      <c r="I741" s="24" t="n">
        <f aca="false">IF(AND(ISNUMBER(B741),ISNUMBER(D741)),B741*D741,0)</f>
        <v>0</v>
      </c>
    </row>
    <row r="742" customFormat="false" ht="15" hidden="false" customHeight="false" outlineLevel="0" collapsed="false">
      <c r="A742" s="19" t="s">
        <v>866</v>
      </c>
      <c r="B742" s="22" t="n">
        <v>1300</v>
      </c>
      <c r="C742" s="19" t="n">
        <v>18</v>
      </c>
      <c r="D742" s="23" t="n">
        <v>0.02</v>
      </c>
      <c r="E742" s="19" t="s">
        <v>145</v>
      </c>
      <c r="F742" s="19" t="s">
        <v>136</v>
      </c>
      <c r="G742" s="19" t="s">
        <v>864</v>
      </c>
      <c r="H742" s="19"/>
      <c r="I742" s="24" t="n">
        <f aca="false">IF(AND(ISNUMBER(B742),ISNUMBER(D742)),B742*D742,0)</f>
        <v>26</v>
      </c>
    </row>
    <row r="743" customFormat="false" ht="15" hidden="false" customHeight="false" outlineLevel="0" collapsed="false">
      <c r="A743" s="19" t="s">
        <v>867</v>
      </c>
      <c r="B743" s="22" t="n">
        <v>1300</v>
      </c>
      <c r="C743" s="19" t="n">
        <v>26</v>
      </c>
      <c r="D743" s="23" t="n">
        <v>0.32</v>
      </c>
      <c r="E743" s="19" t="s">
        <v>145</v>
      </c>
      <c r="F743" s="19" t="s">
        <v>136</v>
      </c>
      <c r="G743" s="19" t="s">
        <v>864</v>
      </c>
      <c r="H743" s="19"/>
      <c r="I743" s="24" t="n">
        <f aca="false">IF(AND(ISNUMBER(B743),ISNUMBER(D743)),B743*D743,0)</f>
        <v>416</v>
      </c>
    </row>
    <row r="744" customFormat="false" ht="15" hidden="false" customHeight="false" outlineLevel="0" collapsed="false">
      <c r="A744" s="19" t="s">
        <v>868</v>
      </c>
      <c r="B744" s="22" t="n">
        <v>1000</v>
      </c>
      <c r="C744" s="19" t="n">
        <v>23</v>
      </c>
      <c r="D744" s="23" t="n">
        <v>0</v>
      </c>
      <c r="E744" s="19" t="s">
        <v>135</v>
      </c>
      <c r="F744" s="19" t="s">
        <v>136</v>
      </c>
      <c r="G744" s="19" t="s">
        <v>864</v>
      </c>
      <c r="H744" s="19"/>
      <c r="I744" s="24" t="n">
        <f aca="false">IF(AND(ISNUMBER(B744),ISNUMBER(D744)),B744*D744,0)</f>
        <v>0</v>
      </c>
    </row>
    <row r="745" customFormat="false" ht="15" hidden="false" customHeight="false" outlineLevel="0" collapsed="false">
      <c r="A745" s="19" t="s">
        <v>869</v>
      </c>
      <c r="B745" s="22" t="n">
        <v>720</v>
      </c>
      <c r="C745" s="19" t="n">
        <v>28</v>
      </c>
      <c r="D745" s="23" t="n">
        <v>1.95</v>
      </c>
      <c r="E745" s="19" t="s">
        <v>166</v>
      </c>
      <c r="F745" s="19" t="s">
        <v>151</v>
      </c>
      <c r="G745" s="19" t="s">
        <v>864</v>
      </c>
      <c r="H745" s="19"/>
      <c r="I745" s="24" t="n">
        <f aca="false">IF(AND(ISNUMBER(B745),ISNUMBER(D745)),B745*D745,0)</f>
        <v>1404</v>
      </c>
    </row>
    <row r="746" customFormat="false" ht="15" hidden="false" customHeight="false" outlineLevel="0" collapsed="false">
      <c r="A746" s="19" t="s">
        <v>870</v>
      </c>
      <c r="B746" s="22" t="n">
        <v>720</v>
      </c>
      <c r="C746" s="19" t="n">
        <v>19</v>
      </c>
      <c r="D746" s="23" t="n">
        <v>0.03</v>
      </c>
      <c r="E746" s="19" t="s">
        <v>168</v>
      </c>
      <c r="F746" s="19" t="s">
        <v>161</v>
      </c>
      <c r="G746" s="19" t="s">
        <v>864</v>
      </c>
      <c r="H746" s="19"/>
      <c r="I746" s="24" t="n">
        <f aca="false">IF(AND(ISNUMBER(B746),ISNUMBER(D746)),B746*D746,0)</f>
        <v>21.6</v>
      </c>
    </row>
    <row r="747" customFormat="false" ht="15" hidden="false" customHeight="false" outlineLevel="0" collapsed="false">
      <c r="A747" s="19" t="s">
        <v>871</v>
      </c>
      <c r="B747" s="22" t="n">
        <v>720</v>
      </c>
      <c r="C747" s="19" t="n">
        <v>21</v>
      </c>
      <c r="D747" s="23" t="n">
        <v>0.02</v>
      </c>
      <c r="E747" s="19" t="s">
        <v>135</v>
      </c>
      <c r="F747" s="19" t="s">
        <v>136</v>
      </c>
      <c r="G747" s="19" t="s">
        <v>864</v>
      </c>
      <c r="H747" s="19"/>
      <c r="I747" s="24" t="n">
        <f aca="false">IF(AND(ISNUMBER(B747),ISNUMBER(D747)),B747*D747,0)</f>
        <v>14.4</v>
      </c>
    </row>
    <row r="748" customFormat="false" ht="15" hidden="false" customHeight="false" outlineLevel="0" collapsed="false">
      <c r="A748" s="19" t="s">
        <v>872</v>
      </c>
      <c r="B748" s="22" t="n">
        <v>590</v>
      </c>
      <c r="C748" s="19" t="n">
        <v>20</v>
      </c>
      <c r="D748" s="23" t="n">
        <v>0</v>
      </c>
      <c r="E748" s="19" t="s">
        <v>185</v>
      </c>
      <c r="F748" s="19" t="s">
        <v>140</v>
      </c>
      <c r="G748" s="19" t="s">
        <v>864</v>
      </c>
      <c r="H748" s="19"/>
      <c r="I748" s="24" t="n">
        <f aca="false">IF(AND(ISNUMBER(B748),ISNUMBER(D748)),B748*D748,0)</f>
        <v>0</v>
      </c>
    </row>
    <row r="749" customFormat="false" ht="15" hidden="false" customHeight="false" outlineLevel="0" collapsed="false">
      <c r="A749" s="19" t="s">
        <v>873</v>
      </c>
      <c r="B749" s="22" t="n">
        <v>590</v>
      </c>
      <c r="C749" s="19" t="n">
        <v>29</v>
      </c>
      <c r="D749" s="23" t="n">
        <v>0.72</v>
      </c>
      <c r="E749" s="19" t="s">
        <v>290</v>
      </c>
      <c r="F749" s="19" t="s">
        <v>161</v>
      </c>
      <c r="G749" s="19" t="s">
        <v>864</v>
      </c>
      <c r="H749" s="19"/>
      <c r="I749" s="24" t="n">
        <f aca="false">IF(AND(ISNUMBER(B749),ISNUMBER(D749)),B749*D749,0)</f>
        <v>424.8</v>
      </c>
    </row>
    <row r="750" customFormat="false" ht="15" hidden="false" customHeight="false" outlineLevel="0" collapsed="false">
      <c r="A750" s="19" t="s">
        <v>874</v>
      </c>
      <c r="B750" s="22" t="n">
        <v>590</v>
      </c>
      <c r="C750" s="19" t="n">
        <v>25</v>
      </c>
      <c r="D750" s="23" t="n">
        <v>0.05</v>
      </c>
      <c r="E750" s="19" t="s">
        <v>135</v>
      </c>
      <c r="F750" s="19" t="s">
        <v>136</v>
      </c>
      <c r="G750" s="19" t="s">
        <v>864</v>
      </c>
      <c r="H750" s="19"/>
      <c r="I750" s="24" t="n">
        <f aca="false">IF(AND(ISNUMBER(B750),ISNUMBER(D750)),B750*D750,0)</f>
        <v>29.5</v>
      </c>
    </row>
    <row r="751" customFormat="false" ht="15" hidden="false" customHeight="false" outlineLevel="0" collapsed="false">
      <c r="A751" s="19" t="s">
        <v>875</v>
      </c>
      <c r="B751" s="22" t="n">
        <v>590</v>
      </c>
      <c r="C751" s="19" t="n">
        <v>21</v>
      </c>
      <c r="D751" s="23" t="n">
        <v>0</v>
      </c>
      <c r="E751" s="19" t="s">
        <v>135</v>
      </c>
      <c r="F751" s="19" t="s">
        <v>136</v>
      </c>
      <c r="G751" s="19" t="s">
        <v>864</v>
      </c>
      <c r="H751" s="19"/>
      <c r="I751" s="24" t="n">
        <f aca="false">IF(AND(ISNUMBER(B751),ISNUMBER(D751)),B751*D751,0)</f>
        <v>0</v>
      </c>
    </row>
    <row r="752" customFormat="false" ht="15" hidden="false" customHeight="false" outlineLevel="0" collapsed="false">
      <c r="A752" s="19" t="s">
        <v>876</v>
      </c>
      <c r="B752" s="22" t="n">
        <v>590</v>
      </c>
      <c r="C752" s="19" t="n">
        <v>17</v>
      </c>
      <c r="D752" s="23" t="n">
        <v>0.02</v>
      </c>
      <c r="E752" s="19" t="s">
        <v>145</v>
      </c>
      <c r="F752" s="19" t="s">
        <v>136</v>
      </c>
      <c r="G752" s="19" t="s">
        <v>864</v>
      </c>
      <c r="H752" s="19"/>
      <c r="I752" s="24" t="n">
        <f aca="false">IF(AND(ISNUMBER(B752),ISNUMBER(D752)),B752*D752,0)</f>
        <v>11.8</v>
      </c>
    </row>
    <row r="753" customFormat="false" ht="15" hidden="false" customHeight="false" outlineLevel="0" collapsed="false">
      <c r="A753" s="19" t="s">
        <v>877</v>
      </c>
      <c r="B753" s="22" t="n">
        <v>590</v>
      </c>
      <c r="C753" s="19" t="n">
        <v>16</v>
      </c>
      <c r="D753" s="23" t="n">
        <v>0.02</v>
      </c>
      <c r="E753" s="19" t="s">
        <v>145</v>
      </c>
      <c r="F753" s="19" t="s">
        <v>136</v>
      </c>
      <c r="G753" s="19" t="s">
        <v>864</v>
      </c>
      <c r="H753" s="19"/>
      <c r="I753" s="24" t="n">
        <f aca="false">IF(AND(ISNUMBER(B753),ISNUMBER(D753)),B753*D753,0)</f>
        <v>11.8</v>
      </c>
    </row>
    <row r="754" customFormat="false" ht="15" hidden="false" customHeight="false" outlineLevel="0" collapsed="false">
      <c r="A754" s="19" t="s">
        <v>878</v>
      </c>
      <c r="B754" s="22" t="n">
        <v>480</v>
      </c>
      <c r="C754" s="19" t="n">
        <v>12</v>
      </c>
      <c r="D754" s="23" t="n">
        <v>0.41</v>
      </c>
      <c r="E754" s="19" t="s">
        <v>175</v>
      </c>
      <c r="F754" s="19" t="s">
        <v>151</v>
      </c>
      <c r="G754" s="19" t="s">
        <v>864</v>
      </c>
      <c r="H754" s="19"/>
      <c r="I754" s="24" t="n">
        <f aca="false">IF(AND(ISNUMBER(B754),ISNUMBER(D754)),B754*D754,0)</f>
        <v>196.8</v>
      </c>
    </row>
    <row r="755" customFormat="false" ht="15" hidden="false" customHeight="false" outlineLevel="0" collapsed="false">
      <c r="A755" s="19" t="s">
        <v>879</v>
      </c>
      <c r="B755" s="22" t="n">
        <v>480</v>
      </c>
      <c r="C755" s="19" t="n">
        <v>15</v>
      </c>
      <c r="D755" s="23" t="n">
        <v>0</v>
      </c>
      <c r="E755" s="19" t="s">
        <v>185</v>
      </c>
      <c r="F755" s="19" t="s">
        <v>140</v>
      </c>
      <c r="G755" s="19" t="s">
        <v>864</v>
      </c>
      <c r="H755" s="19"/>
      <c r="I755" s="24" t="n">
        <f aca="false">IF(AND(ISNUMBER(B755),ISNUMBER(D755)),B755*D755,0)</f>
        <v>0</v>
      </c>
    </row>
    <row r="756" customFormat="false" ht="15" hidden="false" customHeight="false" outlineLevel="0" collapsed="false">
      <c r="A756" s="19" t="s">
        <v>880</v>
      </c>
      <c r="B756" s="22" t="n">
        <v>480</v>
      </c>
      <c r="C756" s="19" t="n">
        <v>23</v>
      </c>
      <c r="D756" s="23" t="n">
        <v>0.52</v>
      </c>
      <c r="E756" s="19" t="s">
        <v>168</v>
      </c>
      <c r="F756" s="19" t="s">
        <v>161</v>
      </c>
      <c r="G756" s="19" t="s">
        <v>864</v>
      </c>
      <c r="H756" s="19"/>
      <c r="I756" s="24" t="n">
        <f aca="false">IF(AND(ISNUMBER(B756),ISNUMBER(D756)),B756*D756,0)</f>
        <v>249.6</v>
      </c>
    </row>
    <row r="757" customFormat="false" ht="15" hidden="false" customHeight="false" outlineLevel="0" collapsed="false">
      <c r="A757" s="19" t="s">
        <v>881</v>
      </c>
      <c r="B757" s="22" t="n">
        <v>480</v>
      </c>
      <c r="C757" s="19" t="n">
        <v>20</v>
      </c>
      <c r="D757" s="23" t="n">
        <v>0.04</v>
      </c>
      <c r="E757" s="19" t="s">
        <v>135</v>
      </c>
      <c r="F757" s="19" t="s">
        <v>136</v>
      </c>
      <c r="G757" s="19" t="s">
        <v>864</v>
      </c>
      <c r="H757" s="19"/>
      <c r="I757" s="24" t="n">
        <f aca="false">IF(AND(ISNUMBER(B757),ISNUMBER(D757)),B757*D757,0)</f>
        <v>19.2</v>
      </c>
    </row>
    <row r="758" customFormat="false" ht="15" hidden="false" customHeight="false" outlineLevel="0" collapsed="false">
      <c r="A758" s="19" t="s">
        <v>882</v>
      </c>
      <c r="B758" s="22" t="n">
        <v>480</v>
      </c>
      <c r="C758" s="19" t="n">
        <v>17</v>
      </c>
      <c r="D758" s="23" t="n">
        <v>0.07</v>
      </c>
      <c r="E758" s="19" t="s">
        <v>145</v>
      </c>
      <c r="F758" s="19" t="s">
        <v>136</v>
      </c>
      <c r="G758" s="19" t="s">
        <v>864</v>
      </c>
      <c r="H758" s="19"/>
      <c r="I758" s="24" t="n">
        <f aca="false">IF(AND(ISNUMBER(B758),ISNUMBER(D758)),B758*D758,0)</f>
        <v>33.6</v>
      </c>
    </row>
    <row r="759" customFormat="false" ht="15" hidden="false" customHeight="false" outlineLevel="0" collapsed="false">
      <c r="A759" s="19" t="s">
        <v>883</v>
      </c>
      <c r="B759" s="22" t="n">
        <v>480</v>
      </c>
      <c r="C759" s="19" t="n">
        <v>21</v>
      </c>
      <c r="D759" s="23" t="n">
        <v>0.01</v>
      </c>
      <c r="E759" s="19" t="s">
        <v>135</v>
      </c>
      <c r="F759" s="19" t="s">
        <v>136</v>
      </c>
      <c r="G759" s="19" t="s">
        <v>864</v>
      </c>
      <c r="H759" s="19"/>
      <c r="I759" s="24" t="n">
        <f aca="false">IF(AND(ISNUMBER(B759),ISNUMBER(D759)),B759*D759,0)</f>
        <v>4.8</v>
      </c>
    </row>
    <row r="760" customFormat="false" ht="15" hidden="false" customHeight="false" outlineLevel="0" collapsed="false">
      <c r="A760" s="19" t="s">
        <v>884</v>
      </c>
      <c r="B760" s="22" t="n">
        <v>390</v>
      </c>
      <c r="C760" s="19" t="n">
        <v>11</v>
      </c>
      <c r="D760" s="23" t="n">
        <v>0</v>
      </c>
      <c r="E760" s="19" t="s">
        <v>185</v>
      </c>
      <c r="F760" s="19" t="s">
        <v>140</v>
      </c>
      <c r="G760" s="19" t="s">
        <v>864</v>
      </c>
      <c r="H760" s="19"/>
      <c r="I760" s="24" t="n">
        <f aca="false">IF(AND(ISNUMBER(B760),ISNUMBER(D760)),B760*D760,0)</f>
        <v>0</v>
      </c>
    </row>
    <row r="761" customFormat="false" ht="15" hidden="false" customHeight="false" outlineLevel="0" collapsed="false">
      <c r="A761" s="19" t="s">
        <v>885</v>
      </c>
      <c r="B761" s="22" t="n">
        <v>390</v>
      </c>
      <c r="C761" s="19" t="n">
        <v>22</v>
      </c>
      <c r="D761" s="23" t="n">
        <v>0.05</v>
      </c>
      <c r="E761" s="19" t="s">
        <v>135</v>
      </c>
      <c r="F761" s="19" t="s">
        <v>140</v>
      </c>
      <c r="G761" s="19" t="s">
        <v>864</v>
      </c>
      <c r="H761" s="19"/>
      <c r="I761" s="24" t="n">
        <f aca="false">IF(AND(ISNUMBER(B761),ISNUMBER(D761)),B761*D761,0)</f>
        <v>19.5</v>
      </c>
    </row>
    <row r="762" customFormat="false" ht="15" hidden="false" customHeight="false" outlineLevel="0" collapsed="false">
      <c r="A762" s="19" t="s">
        <v>886</v>
      </c>
      <c r="B762" s="22" t="n">
        <v>390</v>
      </c>
      <c r="C762" s="19" t="n">
        <v>20</v>
      </c>
      <c r="D762" s="23" t="n">
        <v>0.02</v>
      </c>
      <c r="E762" s="19" t="s">
        <v>135</v>
      </c>
      <c r="F762" s="19" t="s">
        <v>136</v>
      </c>
      <c r="G762" s="19" t="s">
        <v>864</v>
      </c>
      <c r="H762" s="19"/>
      <c r="I762" s="24" t="n">
        <f aca="false">IF(AND(ISNUMBER(B762),ISNUMBER(D762)),B762*D762,0)</f>
        <v>7.8</v>
      </c>
    </row>
    <row r="763" customFormat="false" ht="15" hidden="false" customHeight="false" outlineLevel="0" collapsed="false">
      <c r="A763" s="19" t="s">
        <v>887</v>
      </c>
      <c r="B763" s="22" t="n">
        <v>390</v>
      </c>
      <c r="C763" s="19" t="n">
        <v>24</v>
      </c>
      <c r="D763" s="23" t="n">
        <v>0.05</v>
      </c>
      <c r="E763" s="19" t="s">
        <v>145</v>
      </c>
      <c r="F763" s="19" t="s">
        <v>136</v>
      </c>
      <c r="G763" s="19" t="s">
        <v>864</v>
      </c>
      <c r="H763" s="19"/>
      <c r="I763" s="24" t="n">
        <f aca="false">IF(AND(ISNUMBER(B763),ISNUMBER(D763)),B763*D763,0)</f>
        <v>19.5</v>
      </c>
    </row>
    <row r="764" customFormat="false" ht="15" hidden="false" customHeight="false" outlineLevel="0" collapsed="false">
      <c r="A764" s="19" t="s">
        <v>888</v>
      </c>
      <c r="B764" s="22" t="n">
        <v>320</v>
      </c>
      <c r="C764" s="19" t="n">
        <v>29</v>
      </c>
      <c r="D764" s="23" t="n">
        <v>0.74</v>
      </c>
      <c r="E764" s="19" t="s">
        <v>889</v>
      </c>
      <c r="F764" s="19" t="s">
        <v>140</v>
      </c>
      <c r="G764" s="19" t="s">
        <v>864</v>
      </c>
      <c r="H764" s="19"/>
      <c r="I764" s="24" t="n">
        <f aca="false">IF(AND(ISNUMBER(B764),ISNUMBER(D764)),B764*D764,0)</f>
        <v>236.8</v>
      </c>
    </row>
    <row r="765" customFormat="false" ht="15" hidden="false" customHeight="false" outlineLevel="0" collapsed="false">
      <c r="A765" s="19" t="s">
        <v>890</v>
      </c>
      <c r="B765" s="22" t="n">
        <v>320</v>
      </c>
      <c r="C765" s="19" t="n">
        <v>14</v>
      </c>
      <c r="D765" s="23" t="n">
        <v>0.36</v>
      </c>
      <c r="E765" s="19" t="s">
        <v>135</v>
      </c>
      <c r="F765" s="19" t="s">
        <v>161</v>
      </c>
      <c r="G765" s="19" t="s">
        <v>864</v>
      </c>
      <c r="H765" s="19"/>
      <c r="I765" s="24" t="n">
        <f aca="false">IF(AND(ISNUMBER(B765),ISNUMBER(D765)),B765*D765,0)</f>
        <v>115.2</v>
      </c>
    </row>
    <row r="766" customFormat="false" ht="15" hidden="false" customHeight="false" outlineLevel="0" collapsed="false">
      <c r="A766" s="19" t="s">
        <v>891</v>
      </c>
      <c r="B766" s="22" t="n">
        <v>320</v>
      </c>
      <c r="C766" s="19" t="n">
        <v>19</v>
      </c>
      <c r="D766" s="23" t="n">
        <v>0</v>
      </c>
      <c r="E766" s="19" t="s">
        <v>220</v>
      </c>
      <c r="F766" s="19" t="s">
        <v>161</v>
      </c>
      <c r="G766" s="19" t="s">
        <v>864</v>
      </c>
      <c r="H766" s="19"/>
      <c r="I766" s="24" t="n">
        <f aca="false">IF(AND(ISNUMBER(B766),ISNUMBER(D766)),B766*D766,0)</f>
        <v>0</v>
      </c>
    </row>
    <row r="767" customFormat="false" ht="15" hidden="false" customHeight="false" outlineLevel="0" collapsed="false">
      <c r="A767" s="19" t="s">
        <v>892</v>
      </c>
      <c r="B767" s="22" t="n">
        <v>320</v>
      </c>
      <c r="C767" s="19" t="n">
        <v>14</v>
      </c>
      <c r="D767" s="23" t="n">
        <v>0</v>
      </c>
      <c r="E767" s="19" t="s">
        <v>135</v>
      </c>
      <c r="F767" s="19" t="s">
        <v>136</v>
      </c>
      <c r="G767" s="19" t="s">
        <v>864</v>
      </c>
      <c r="H767" s="19"/>
      <c r="I767" s="24" t="n">
        <f aca="false">IF(AND(ISNUMBER(B767),ISNUMBER(D767)),B767*D767,0)</f>
        <v>0</v>
      </c>
    </row>
    <row r="768" customFormat="false" ht="15" hidden="false" customHeight="false" outlineLevel="0" collapsed="false">
      <c r="A768" s="19" t="s">
        <v>893</v>
      </c>
      <c r="B768" s="22" t="n">
        <v>320</v>
      </c>
      <c r="C768" s="19" t="n">
        <v>24</v>
      </c>
      <c r="D768" s="23" t="n">
        <v>0.01</v>
      </c>
      <c r="E768" s="19" t="s">
        <v>135</v>
      </c>
      <c r="F768" s="19" t="s">
        <v>136</v>
      </c>
      <c r="G768" s="19" t="s">
        <v>864</v>
      </c>
      <c r="H768" s="19"/>
      <c r="I768" s="24" t="n">
        <f aca="false">IF(AND(ISNUMBER(B768),ISNUMBER(D768)),B768*D768,0)</f>
        <v>3.2</v>
      </c>
    </row>
    <row r="769" customFormat="false" ht="15" hidden="false" customHeight="false" outlineLevel="0" collapsed="false">
      <c r="A769" s="19" t="s">
        <v>894</v>
      </c>
      <c r="B769" s="22" t="n">
        <v>260</v>
      </c>
      <c r="C769" s="19" t="n">
        <v>23</v>
      </c>
      <c r="D769" s="23" t="n">
        <v>0.25</v>
      </c>
      <c r="E769" s="19" t="s">
        <v>135</v>
      </c>
      <c r="F769" s="19" t="s">
        <v>161</v>
      </c>
      <c r="G769" s="19" t="s">
        <v>864</v>
      </c>
      <c r="H769" s="19"/>
      <c r="I769" s="24" t="n">
        <f aca="false">IF(AND(ISNUMBER(B769),ISNUMBER(D769)),B769*D769,0)</f>
        <v>65</v>
      </c>
    </row>
    <row r="770" customFormat="false" ht="15" hidden="false" customHeight="false" outlineLevel="0" collapsed="false">
      <c r="A770" s="19" t="s">
        <v>895</v>
      </c>
      <c r="B770" s="22" t="n">
        <v>260</v>
      </c>
      <c r="C770" s="19" t="n">
        <v>18</v>
      </c>
      <c r="D770" s="23" t="n">
        <v>0.02</v>
      </c>
      <c r="E770" s="19" t="s">
        <v>135</v>
      </c>
      <c r="F770" s="19" t="s">
        <v>161</v>
      </c>
      <c r="G770" s="19" t="s">
        <v>864</v>
      </c>
      <c r="H770" s="19"/>
      <c r="I770" s="24" t="n">
        <f aca="false">IF(AND(ISNUMBER(B770),ISNUMBER(D770)),B770*D770,0)</f>
        <v>5.2</v>
      </c>
    </row>
    <row r="771" customFormat="false" ht="15" hidden="false" customHeight="false" outlineLevel="0" collapsed="false">
      <c r="A771" s="19" t="s">
        <v>896</v>
      </c>
      <c r="B771" s="22" t="n">
        <v>260</v>
      </c>
      <c r="C771" s="19" t="n">
        <v>12</v>
      </c>
      <c r="D771" s="23" t="n">
        <v>0.62</v>
      </c>
      <c r="E771" s="19" t="s">
        <v>145</v>
      </c>
      <c r="F771" s="19" t="s">
        <v>136</v>
      </c>
      <c r="G771" s="19" t="s">
        <v>864</v>
      </c>
      <c r="H771" s="19"/>
      <c r="I771" s="24" t="n">
        <f aca="false">IF(AND(ISNUMBER(B771),ISNUMBER(D771)),B771*D771,0)</f>
        <v>161.2</v>
      </c>
    </row>
    <row r="772" customFormat="false" ht="15" hidden="false" customHeight="false" outlineLevel="0" collapsed="false">
      <c r="A772" s="19" t="s">
        <v>897</v>
      </c>
      <c r="B772" s="22" t="n">
        <v>260</v>
      </c>
      <c r="C772" s="19" t="n">
        <v>25</v>
      </c>
      <c r="D772" s="23" t="n">
        <v>0.95</v>
      </c>
      <c r="E772" s="19" t="s">
        <v>157</v>
      </c>
      <c r="F772" s="19" t="s">
        <v>136</v>
      </c>
      <c r="G772" s="19" t="s">
        <v>864</v>
      </c>
      <c r="H772" s="19"/>
      <c r="I772" s="24" t="n">
        <f aca="false">IF(AND(ISNUMBER(B772),ISNUMBER(D772)),B772*D772,0)</f>
        <v>247</v>
      </c>
    </row>
    <row r="773" customFormat="false" ht="15" hidden="false" customHeight="false" outlineLevel="0" collapsed="false">
      <c r="A773" s="19" t="s">
        <v>898</v>
      </c>
      <c r="B773" s="22" t="n">
        <v>260</v>
      </c>
      <c r="C773" s="19" t="n">
        <v>24</v>
      </c>
      <c r="D773" s="23" t="n">
        <v>0.51</v>
      </c>
      <c r="E773" s="19" t="s">
        <v>175</v>
      </c>
      <c r="F773" s="19" t="s">
        <v>136</v>
      </c>
      <c r="G773" s="19" t="s">
        <v>864</v>
      </c>
      <c r="H773" s="19"/>
      <c r="I773" s="24" t="n">
        <f aca="false">IF(AND(ISNUMBER(B773),ISNUMBER(D773)),B773*D773,0)</f>
        <v>132.6</v>
      </c>
    </row>
    <row r="774" customFormat="false" ht="15" hidden="false" customHeight="false" outlineLevel="0" collapsed="false">
      <c r="A774" s="19" t="s">
        <v>899</v>
      </c>
      <c r="B774" s="22" t="n">
        <v>260</v>
      </c>
      <c r="C774" s="19" t="n">
        <v>20</v>
      </c>
      <c r="D774" s="23" t="n">
        <v>0.02</v>
      </c>
      <c r="E774" s="19" t="s">
        <v>135</v>
      </c>
      <c r="F774" s="19" t="s">
        <v>136</v>
      </c>
      <c r="G774" s="19" t="s">
        <v>864</v>
      </c>
      <c r="H774" s="19"/>
      <c r="I774" s="24" t="n">
        <f aca="false">IF(AND(ISNUMBER(B774),ISNUMBER(D774)),B774*D774,0)</f>
        <v>5.2</v>
      </c>
    </row>
    <row r="775" customFormat="false" ht="15" hidden="false" customHeight="false" outlineLevel="0" collapsed="false">
      <c r="A775" s="19" t="s">
        <v>900</v>
      </c>
      <c r="B775" s="22" t="n">
        <v>260</v>
      </c>
      <c r="C775" s="19" t="n">
        <v>11</v>
      </c>
      <c r="D775" s="23" t="n">
        <v>0</v>
      </c>
      <c r="E775" s="19" t="s">
        <v>135</v>
      </c>
      <c r="F775" s="19" t="s">
        <v>136</v>
      </c>
      <c r="G775" s="19" t="s">
        <v>864</v>
      </c>
      <c r="H775" s="19"/>
      <c r="I775" s="24" t="n">
        <f aca="false">IF(AND(ISNUMBER(B775),ISNUMBER(D775)),B775*D775,0)</f>
        <v>0</v>
      </c>
    </row>
    <row r="776" customFormat="false" ht="15" hidden="false" customHeight="false" outlineLevel="0" collapsed="false">
      <c r="A776" s="19" t="s">
        <v>901</v>
      </c>
      <c r="B776" s="22" t="n">
        <v>210</v>
      </c>
      <c r="C776" s="19" t="n">
        <v>28</v>
      </c>
      <c r="D776" s="23" t="n">
        <v>0.25</v>
      </c>
      <c r="E776" s="19" t="s">
        <v>135</v>
      </c>
      <c r="F776" s="19" t="s">
        <v>151</v>
      </c>
      <c r="G776" s="19" t="s">
        <v>864</v>
      </c>
      <c r="H776" s="19"/>
      <c r="I776" s="24" t="n">
        <f aca="false">IF(AND(ISNUMBER(B776),ISNUMBER(D776)),B776*D776,0)</f>
        <v>52.5</v>
      </c>
    </row>
    <row r="777" customFormat="false" ht="15" hidden="false" customHeight="false" outlineLevel="0" collapsed="false">
      <c r="A777" s="19" t="s">
        <v>902</v>
      </c>
      <c r="B777" s="22" t="n">
        <v>210</v>
      </c>
      <c r="C777" s="19" t="n">
        <v>29</v>
      </c>
      <c r="D777" s="23" t="n">
        <v>0</v>
      </c>
      <c r="E777" s="19" t="s">
        <v>889</v>
      </c>
      <c r="F777" s="19" t="s">
        <v>140</v>
      </c>
      <c r="G777" s="19" t="s">
        <v>864</v>
      </c>
      <c r="H777" s="19"/>
      <c r="I777" s="24" t="n">
        <f aca="false">IF(AND(ISNUMBER(B777),ISNUMBER(D777)),B777*D777,0)</f>
        <v>0</v>
      </c>
    </row>
    <row r="778" customFormat="false" ht="15" hidden="false" customHeight="false" outlineLevel="0" collapsed="false">
      <c r="A778" s="19" t="s">
        <v>903</v>
      </c>
      <c r="B778" s="22" t="n">
        <v>210</v>
      </c>
      <c r="C778" s="19" t="n">
        <v>22</v>
      </c>
      <c r="D778" s="23" t="n">
        <v>0.01</v>
      </c>
      <c r="E778" s="19" t="s">
        <v>135</v>
      </c>
      <c r="F778" s="19" t="s">
        <v>161</v>
      </c>
      <c r="G778" s="19" t="s">
        <v>864</v>
      </c>
      <c r="H778" s="19"/>
      <c r="I778" s="24" t="n">
        <f aca="false">IF(AND(ISNUMBER(B778),ISNUMBER(D778)),B778*D778,0)</f>
        <v>2.1</v>
      </c>
    </row>
    <row r="779" customFormat="false" ht="15" hidden="false" customHeight="false" outlineLevel="0" collapsed="false">
      <c r="A779" s="19" t="s">
        <v>904</v>
      </c>
      <c r="B779" s="22" t="n">
        <v>210</v>
      </c>
      <c r="C779" s="19" t="n">
        <v>16</v>
      </c>
      <c r="D779" s="23" t="n">
        <v>0.33</v>
      </c>
      <c r="E779" s="19" t="s">
        <v>135</v>
      </c>
      <c r="F779" s="19" t="s">
        <v>161</v>
      </c>
      <c r="G779" s="19" t="s">
        <v>864</v>
      </c>
      <c r="H779" s="19"/>
      <c r="I779" s="24" t="n">
        <f aca="false">IF(AND(ISNUMBER(B779),ISNUMBER(D779)),B779*D779,0)</f>
        <v>69.3</v>
      </c>
    </row>
    <row r="780" customFormat="false" ht="15" hidden="false" customHeight="false" outlineLevel="0" collapsed="false">
      <c r="A780" s="19" t="s">
        <v>905</v>
      </c>
      <c r="B780" s="22" t="n">
        <v>210</v>
      </c>
      <c r="C780" s="19" t="n">
        <v>21</v>
      </c>
      <c r="D780" s="23" t="n">
        <v>0.03</v>
      </c>
      <c r="E780" s="19" t="s">
        <v>135</v>
      </c>
      <c r="F780" s="19" t="s">
        <v>136</v>
      </c>
      <c r="G780" s="19" t="s">
        <v>864</v>
      </c>
      <c r="H780" s="19"/>
      <c r="I780" s="24" t="n">
        <f aca="false">IF(AND(ISNUMBER(B780),ISNUMBER(D780)),B780*D780,0)</f>
        <v>6.3</v>
      </c>
    </row>
    <row r="781" customFormat="false" ht="15" hidden="false" customHeight="false" outlineLevel="0" collapsed="false">
      <c r="A781" s="19" t="s">
        <v>906</v>
      </c>
      <c r="B781" s="22" t="n">
        <v>210</v>
      </c>
      <c r="C781" s="19" t="n">
        <v>10</v>
      </c>
      <c r="D781" s="23" t="n">
        <v>0.41</v>
      </c>
      <c r="E781" s="19" t="s">
        <v>135</v>
      </c>
      <c r="F781" s="19" t="s">
        <v>136</v>
      </c>
      <c r="G781" s="19" t="s">
        <v>864</v>
      </c>
      <c r="H781" s="19"/>
      <c r="I781" s="24" t="n">
        <f aca="false">IF(AND(ISNUMBER(B781),ISNUMBER(D781)),B781*D781,0)</f>
        <v>86.1</v>
      </c>
    </row>
    <row r="782" customFormat="false" ht="15" hidden="false" customHeight="false" outlineLevel="0" collapsed="false">
      <c r="A782" s="19" t="s">
        <v>907</v>
      </c>
      <c r="B782" s="22" t="n">
        <v>210</v>
      </c>
      <c r="C782" s="19" t="n">
        <v>9</v>
      </c>
      <c r="D782" s="23" t="n">
        <v>0.37</v>
      </c>
      <c r="E782" s="19" t="s">
        <v>135</v>
      </c>
      <c r="F782" s="19" t="s">
        <v>136</v>
      </c>
      <c r="G782" s="19" t="s">
        <v>864</v>
      </c>
      <c r="H782" s="19"/>
      <c r="I782" s="24" t="n">
        <f aca="false">IF(AND(ISNUMBER(B782),ISNUMBER(D782)),B782*D782,0)</f>
        <v>77.7</v>
      </c>
    </row>
    <row r="783" customFormat="false" ht="15" hidden="false" customHeight="false" outlineLevel="0" collapsed="false">
      <c r="A783" s="19" t="s">
        <v>908</v>
      </c>
      <c r="B783" s="22" t="n">
        <v>210</v>
      </c>
      <c r="C783" s="19" t="n">
        <v>20</v>
      </c>
      <c r="D783" s="23" t="n">
        <v>0.02</v>
      </c>
      <c r="E783" s="19" t="s">
        <v>135</v>
      </c>
      <c r="F783" s="19" t="s">
        <v>136</v>
      </c>
      <c r="G783" s="19" t="s">
        <v>864</v>
      </c>
      <c r="H783" s="19"/>
      <c r="I783" s="24" t="n">
        <f aca="false">IF(AND(ISNUMBER(B783),ISNUMBER(D783)),B783*D783,0)</f>
        <v>4.2</v>
      </c>
    </row>
    <row r="784" customFormat="false" ht="15" hidden="false" customHeight="false" outlineLevel="0" collapsed="false">
      <c r="A784" s="19" t="s">
        <v>909</v>
      </c>
      <c r="B784" s="22" t="n">
        <v>210</v>
      </c>
      <c r="C784" s="19" t="n">
        <v>20</v>
      </c>
      <c r="D784" s="23" t="n">
        <v>0.25</v>
      </c>
      <c r="E784" s="19" t="s">
        <v>145</v>
      </c>
      <c r="F784" s="19" t="s">
        <v>136</v>
      </c>
      <c r="G784" s="19" t="s">
        <v>864</v>
      </c>
      <c r="H784" s="19"/>
      <c r="I784" s="24" t="n">
        <f aca="false">IF(AND(ISNUMBER(B784),ISNUMBER(D784)),B784*D784,0)</f>
        <v>52.5</v>
      </c>
    </row>
    <row r="785" customFormat="false" ht="15" hidden="false" customHeight="false" outlineLevel="0" collapsed="false">
      <c r="A785" s="19" t="s">
        <v>910</v>
      </c>
      <c r="B785" s="22" t="n">
        <v>170</v>
      </c>
      <c r="C785" s="19" t="n">
        <v>17</v>
      </c>
      <c r="D785" s="23" t="n">
        <v>0.02</v>
      </c>
      <c r="E785" s="19" t="s">
        <v>168</v>
      </c>
      <c r="F785" s="19" t="s">
        <v>140</v>
      </c>
      <c r="G785" s="19" t="s">
        <v>864</v>
      </c>
      <c r="H785" s="19"/>
      <c r="I785" s="24" t="n">
        <f aca="false">IF(AND(ISNUMBER(B785),ISNUMBER(D785)),B785*D785,0)</f>
        <v>3.4</v>
      </c>
    </row>
    <row r="786" customFormat="false" ht="15" hidden="false" customHeight="false" outlineLevel="0" collapsed="false">
      <c r="A786" s="19" t="s">
        <v>911</v>
      </c>
      <c r="B786" s="22" t="n">
        <v>170</v>
      </c>
      <c r="C786" s="19" t="n">
        <v>26</v>
      </c>
      <c r="D786" s="23" t="n">
        <v>0</v>
      </c>
      <c r="E786" s="19" t="s">
        <v>889</v>
      </c>
      <c r="F786" s="19" t="s">
        <v>140</v>
      </c>
      <c r="G786" s="19" t="s">
        <v>864</v>
      </c>
      <c r="H786" s="19"/>
      <c r="I786" s="24" t="n">
        <f aca="false">IF(AND(ISNUMBER(B786),ISNUMBER(D786)),B786*D786,0)</f>
        <v>0</v>
      </c>
    </row>
    <row r="787" customFormat="false" ht="15" hidden="false" customHeight="false" outlineLevel="0" collapsed="false">
      <c r="A787" s="19" t="s">
        <v>912</v>
      </c>
      <c r="B787" s="22" t="n">
        <v>170</v>
      </c>
      <c r="C787" s="19" t="n">
        <v>18</v>
      </c>
      <c r="D787" s="23" t="n">
        <v>0.11</v>
      </c>
      <c r="E787" s="19" t="s">
        <v>135</v>
      </c>
      <c r="F787" s="19" t="s">
        <v>161</v>
      </c>
      <c r="G787" s="19" t="s">
        <v>864</v>
      </c>
      <c r="H787" s="19"/>
      <c r="I787" s="24" t="n">
        <f aca="false">IF(AND(ISNUMBER(B787),ISNUMBER(D787)),B787*D787,0)</f>
        <v>18.7</v>
      </c>
    </row>
    <row r="788" customFormat="false" ht="15" hidden="false" customHeight="false" outlineLevel="0" collapsed="false">
      <c r="A788" s="19" t="s">
        <v>913</v>
      </c>
      <c r="B788" s="22" t="n">
        <v>170</v>
      </c>
      <c r="C788" s="19" t="n">
        <v>10</v>
      </c>
      <c r="D788" s="23" t="n">
        <v>0</v>
      </c>
      <c r="E788" s="19" t="s">
        <v>135</v>
      </c>
      <c r="F788" s="19" t="s">
        <v>161</v>
      </c>
      <c r="G788" s="19" t="s">
        <v>864</v>
      </c>
      <c r="H788" s="19"/>
      <c r="I788" s="24" t="n">
        <f aca="false">IF(AND(ISNUMBER(B788),ISNUMBER(D788)),B788*D788,0)</f>
        <v>0</v>
      </c>
    </row>
    <row r="789" customFormat="false" ht="15" hidden="false" customHeight="false" outlineLevel="0" collapsed="false">
      <c r="A789" s="19" t="s">
        <v>914</v>
      </c>
      <c r="B789" s="22" t="n">
        <v>170</v>
      </c>
      <c r="C789" s="19" t="n">
        <v>26</v>
      </c>
      <c r="D789" s="23" t="n">
        <v>1.15</v>
      </c>
      <c r="E789" s="19" t="s">
        <v>145</v>
      </c>
      <c r="F789" s="19" t="s">
        <v>136</v>
      </c>
      <c r="G789" s="19" t="s">
        <v>864</v>
      </c>
      <c r="H789" s="19"/>
      <c r="I789" s="24" t="n">
        <f aca="false">IF(AND(ISNUMBER(B789),ISNUMBER(D789)),B789*D789,0)</f>
        <v>195.5</v>
      </c>
    </row>
    <row r="790" customFormat="false" ht="15" hidden="false" customHeight="false" outlineLevel="0" collapsed="false">
      <c r="A790" s="19" t="s">
        <v>915</v>
      </c>
      <c r="B790" s="22" t="n">
        <v>170</v>
      </c>
      <c r="C790" s="19" t="n">
        <v>27</v>
      </c>
      <c r="D790" s="23" t="n">
        <v>0.02</v>
      </c>
      <c r="E790" s="19" t="s">
        <v>135</v>
      </c>
      <c r="F790" s="19" t="s">
        <v>136</v>
      </c>
      <c r="G790" s="19" t="s">
        <v>864</v>
      </c>
      <c r="H790" s="19"/>
      <c r="I790" s="24" t="n">
        <f aca="false">IF(AND(ISNUMBER(B790),ISNUMBER(D790)),B790*D790,0)</f>
        <v>3.4</v>
      </c>
    </row>
    <row r="791" customFormat="false" ht="15" hidden="false" customHeight="false" outlineLevel="0" collapsed="false">
      <c r="A791" s="19" t="s">
        <v>916</v>
      </c>
      <c r="B791" s="22" t="n">
        <v>140</v>
      </c>
      <c r="C791" s="19" t="n">
        <v>18</v>
      </c>
      <c r="D791" s="23" t="n">
        <v>0</v>
      </c>
      <c r="E791" s="19" t="s">
        <v>185</v>
      </c>
      <c r="F791" s="19" t="s">
        <v>140</v>
      </c>
      <c r="G791" s="19" t="s">
        <v>864</v>
      </c>
      <c r="H791" s="19"/>
      <c r="I791" s="24" t="n">
        <f aca="false">IF(AND(ISNUMBER(B791),ISNUMBER(D791)),B791*D791,0)</f>
        <v>0</v>
      </c>
    </row>
    <row r="792" customFormat="false" ht="15" hidden="false" customHeight="false" outlineLevel="0" collapsed="false">
      <c r="A792" s="19" t="s">
        <v>917</v>
      </c>
      <c r="B792" s="22" t="n">
        <v>140</v>
      </c>
      <c r="C792" s="19"/>
      <c r="D792" s="23" t="n">
        <v>0.82</v>
      </c>
      <c r="E792" s="19" t="s">
        <v>145</v>
      </c>
      <c r="F792" s="19" t="s">
        <v>161</v>
      </c>
      <c r="G792" s="19" t="s">
        <v>864</v>
      </c>
      <c r="H792" s="19"/>
      <c r="I792" s="24" t="n">
        <f aca="false">IF(AND(ISNUMBER(B792),ISNUMBER(D792)),B792*D792,0)</f>
        <v>114.8</v>
      </c>
    </row>
    <row r="793" customFormat="false" ht="15" hidden="false" customHeight="false" outlineLevel="0" collapsed="false">
      <c r="A793" s="19" t="s">
        <v>918</v>
      </c>
      <c r="B793" s="22" t="n">
        <v>140</v>
      </c>
      <c r="C793" s="19" t="n">
        <v>20</v>
      </c>
      <c r="D793" s="23" t="n">
        <v>0</v>
      </c>
      <c r="E793" s="19" t="s">
        <v>145</v>
      </c>
      <c r="F793" s="19" t="s">
        <v>140</v>
      </c>
      <c r="G793" s="19" t="s">
        <v>864</v>
      </c>
      <c r="H793" s="19"/>
      <c r="I793" s="24" t="n">
        <f aca="false">IF(AND(ISNUMBER(B793),ISNUMBER(D793)),B793*D793,0)</f>
        <v>0</v>
      </c>
    </row>
    <row r="794" customFormat="false" ht="15" hidden="false" customHeight="false" outlineLevel="0" collapsed="false">
      <c r="A794" s="19" t="s">
        <v>919</v>
      </c>
      <c r="B794" s="22" t="n">
        <v>140</v>
      </c>
      <c r="C794" s="19" t="n">
        <v>17</v>
      </c>
      <c r="D794" s="23" t="n">
        <v>0.01</v>
      </c>
      <c r="E794" s="19" t="s">
        <v>135</v>
      </c>
      <c r="F794" s="19" t="s">
        <v>136</v>
      </c>
      <c r="G794" s="19" t="s">
        <v>864</v>
      </c>
      <c r="H794" s="19"/>
      <c r="I794" s="24" t="n">
        <f aca="false">IF(AND(ISNUMBER(B794),ISNUMBER(D794)),B794*D794,0)</f>
        <v>1.4</v>
      </c>
    </row>
    <row r="795" customFormat="false" ht="15" hidden="false" customHeight="false" outlineLevel="0" collapsed="false">
      <c r="A795" s="19" t="s">
        <v>920</v>
      </c>
      <c r="B795" s="22" t="n">
        <v>110</v>
      </c>
      <c r="C795" s="19" t="n">
        <v>17</v>
      </c>
      <c r="D795" s="23" t="n">
        <v>0</v>
      </c>
      <c r="E795" s="19" t="s">
        <v>145</v>
      </c>
      <c r="F795" s="19" t="s">
        <v>151</v>
      </c>
      <c r="G795" s="19" t="s">
        <v>864</v>
      </c>
      <c r="H795" s="19"/>
      <c r="I795" s="24" t="n">
        <f aca="false">IF(AND(ISNUMBER(B795),ISNUMBER(D795)),B795*D795,0)</f>
        <v>0</v>
      </c>
    </row>
    <row r="796" customFormat="false" ht="15" hidden="false" customHeight="false" outlineLevel="0" collapsed="false">
      <c r="A796" s="19" t="s">
        <v>921</v>
      </c>
      <c r="B796" s="22" t="n">
        <v>110</v>
      </c>
      <c r="C796" s="19" t="n">
        <v>18</v>
      </c>
      <c r="D796" s="23" t="n">
        <v>0</v>
      </c>
      <c r="E796" s="19" t="s">
        <v>145</v>
      </c>
      <c r="F796" s="19" t="s">
        <v>151</v>
      </c>
      <c r="G796" s="19" t="s">
        <v>864</v>
      </c>
      <c r="H796" s="19"/>
      <c r="I796" s="24" t="n">
        <f aca="false">IF(AND(ISNUMBER(B796),ISNUMBER(D796)),B796*D796,0)</f>
        <v>0</v>
      </c>
    </row>
    <row r="797" customFormat="false" ht="15" hidden="false" customHeight="false" outlineLevel="0" collapsed="false">
      <c r="A797" s="19" t="s">
        <v>922</v>
      </c>
      <c r="B797" s="22" t="n">
        <v>110</v>
      </c>
      <c r="C797" s="19" t="n">
        <v>27</v>
      </c>
      <c r="D797" s="23" t="n">
        <v>0.31</v>
      </c>
      <c r="E797" s="19" t="s">
        <v>209</v>
      </c>
      <c r="F797" s="19" t="s">
        <v>151</v>
      </c>
      <c r="G797" s="19" t="s">
        <v>864</v>
      </c>
      <c r="H797" s="19"/>
      <c r="I797" s="24" t="n">
        <f aca="false">IF(AND(ISNUMBER(B797),ISNUMBER(D797)),B797*D797,0)</f>
        <v>34.1</v>
      </c>
    </row>
    <row r="798" customFormat="false" ht="15" hidden="false" customHeight="false" outlineLevel="0" collapsed="false">
      <c r="A798" s="19" t="s">
        <v>923</v>
      </c>
      <c r="B798" s="22" t="n">
        <v>110</v>
      </c>
      <c r="C798" s="19" t="n">
        <v>17</v>
      </c>
      <c r="D798" s="23" t="n">
        <v>0.06</v>
      </c>
      <c r="E798" s="19" t="s">
        <v>168</v>
      </c>
      <c r="F798" s="19" t="s">
        <v>140</v>
      </c>
      <c r="G798" s="19" t="s">
        <v>864</v>
      </c>
      <c r="H798" s="19"/>
      <c r="I798" s="24" t="n">
        <f aca="false">IF(AND(ISNUMBER(B798),ISNUMBER(D798)),B798*D798,0)</f>
        <v>6.6</v>
      </c>
    </row>
    <row r="799" customFormat="false" ht="15" hidden="false" customHeight="false" outlineLevel="0" collapsed="false">
      <c r="A799" s="19" t="s">
        <v>924</v>
      </c>
      <c r="B799" s="22" t="n">
        <v>110</v>
      </c>
      <c r="C799" s="19" t="n">
        <v>20</v>
      </c>
      <c r="D799" s="23" t="n">
        <v>0.14</v>
      </c>
      <c r="E799" s="19" t="s">
        <v>168</v>
      </c>
      <c r="F799" s="19" t="s">
        <v>140</v>
      </c>
      <c r="G799" s="19" t="s">
        <v>864</v>
      </c>
      <c r="H799" s="19"/>
      <c r="I799" s="24" t="n">
        <f aca="false">IF(AND(ISNUMBER(B799),ISNUMBER(D799)),B799*D799,0)</f>
        <v>15.4</v>
      </c>
    </row>
    <row r="800" customFormat="false" ht="15" hidden="false" customHeight="false" outlineLevel="0" collapsed="false">
      <c r="A800" s="19" t="s">
        <v>925</v>
      </c>
      <c r="B800" s="22" t="n">
        <v>110</v>
      </c>
      <c r="C800" s="19" t="n">
        <v>11</v>
      </c>
      <c r="D800" s="23" t="n">
        <v>0.43</v>
      </c>
      <c r="E800" s="19" t="s">
        <v>168</v>
      </c>
      <c r="F800" s="19" t="s">
        <v>140</v>
      </c>
      <c r="G800" s="19" t="s">
        <v>864</v>
      </c>
      <c r="H800" s="19"/>
      <c r="I800" s="24" t="n">
        <f aca="false">IF(AND(ISNUMBER(B800),ISNUMBER(D800)),B800*D800,0)</f>
        <v>47.3</v>
      </c>
    </row>
    <row r="801" customFormat="false" ht="15" hidden="false" customHeight="false" outlineLevel="0" collapsed="false">
      <c r="A801" s="19" t="s">
        <v>926</v>
      </c>
      <c r="B801" s="22" t="n">
        <v>110</v>
      </c>
      <c r="C801" s="19" t="n">
        <v>29</v>
      </c>
      <c r="D801" s="23" t="n">
        <v>0.14</v>
      </c>
      <c r="E801" s="19" t="s">
        <v>168</v>
      </c>
      <c r="F801" s="19" t="s">
        <v>140</v>
      </c>
      <c r="G801" s="19" t="s">
        <v>864</v>
      </c>
      <c r="H801" s="19"/>
      <c r="I801" s="24" t="n">
        <f aca="false">IF(AND(ISNUMBER(B801),ISNUMBER(D801)),B801*D801,0)</f>
        <v>15.4</v>
      </c>
    </row>
    <row r="802" customFormat="false" ht="15" hidden="false" customHeight="false" outlineLevel="0" collapsed="false">
      <c r="A802" s="19" t="s">
        <v>927</v>
      </c>
      <c r="B802" s="22" t="n">
        <v>110</v>
      </c>
      <c r="C802" s="19" t="n">
        <v>19</v>
      </c>
      <c r="D802" s="23" t="n">
        <v>0.02</v>
      </c>
      <c r="E802" s="19" t="s">
        <v>168</v>
      </c>
      <c r="F802" s="19" t="s">
        <v>140</v>
      </c>
      <c r="G802" s="19" t="s">
        <v>864</v>
      </c>
      <c r="H802" s="19"/>
      <c r="I802" s="24" t="n">
        <f aca="false">IF(AND(ISNUMBER(B802),ISNUMBER(D802)),B802*D802,0)</f>
        <v>2.2</v>
      </c>
    </row>
    <row r="803" customFormat="false" ht="15" hidden="false" customHeight="false" outlineLevel="0" collapsed="false">
      <c r="A803" s="19" t="s">
        <v>928</v>
      </c>
      <c r="B803" s="22" t="n">
        <v>110</v>
      </c>
      <c r="C803" s="19" t="n">
        <v>20</v>
      </c>
      <c r="D803" s="23" t="n">
        <v>0</v>
      </c>
      <c r="E803" s="19" t="s">
        <v>220</v>
      </c>
      <c r="F803" s="19" t="s">
        <v>140</v>
      </c>
      <c r="G803" s="19" t="s">
        <v>864</v>
      </c>
      <c r="H803" s="19"/>
      <c r="I803" s="24" t="n">
        <f aca="false">IF(AND(ISNUMBER(B803),ISNUMBER(D803)),B803*D803,0)</f>
        <v>0</v>
      </c>
    </row>
    <row r="804" customFormat="false" ht="15" hidden="false" customHeight="false" outlineLevel="0" collapsed="false">
      <c r="A804" s="19" t="s">
        <v>929</v>
      </c>
      <c r="B804" s="22" t="n">
        <v>110</v>
      </c>
      <c r="C804" s="19" t="n">
        <v>24</v>
      </c>
      <c r="D804" s="23" t="n">
        <v>0</v>
      </c>
      <c r="E804" s="19" t="s">
        <v>185</v>
      </c>
      <c r="F804" s="19" t="s">
        <v>161</v>
      </c>
      <c r="G804" s="19" t="s">
        <v>864</v>
      </c>
      <c r="H804" s="19"/>
      <c r="I804" s="24" t="n">
        <f aca="false">IF(AND(ISNUMBER(B804),ISNUMBER(D804)),B804*D804,0)</f>
        <v>0</v>
      </c>
    </row>
    <row r="805" customFormat="false" ht="15" hidden="false" customHeight="false" outlineLevel="0" collapsed="false">
      <c r="A805" s="19" t="s">
        <v>930</v>
      </c>
      <c r="B805" s="22" t="n">
        <v>110</v>
      </c>
      <c r="C805" s="19" t="n">
        <v>16</v>
      </c>
      <c r="D805" s="23" t="n">
        <v>0.1</v>
      </c>
      <c r="E805" s="19" t="s">
        <v>145</v>
      </c>
      <c r="F805" s="19" t="s">
        <v>161</v>
      </c>
      <c r="G805" s="19" t="s">
        <v>864</v>
      </c>
      <c r="H805" s="19"/>
      <c r="I805" s="24" t="n">
        <f aca="false">IF(AND(ISNUMBER(B805),ISNUMBER(D805)),B805*D805,0)</f>
        <v>11</v>
      </c>
    </row>
    <row r="806" customFormat="false" ht="15" hidden="false" customHeight="false" outlineLevel="0" collapsed="false">
      <c r="A806" s="19" t="s">
        <v>931</v>
      </c>
      <c r="B806" s="22" t="n">
        <v>110</v>
      </c>
      <c r="C806" s="19" t="n">
        <v>23</v>
      </c>
      <c r="D806" s="23" t="n">
        <v>0.01</v>
      </c>
      <c r="E806" s="19" t="s">
        <v>135</v>
      </c>
      <c r="F806" s="19" t="s">
        <v>161</v>
      </c>
      <c r="G806" s="19" t="s">
        <v>864</v>
      </c>
      <c r="H806" s="19"/>
      <c r="I806" s="24" t="n">
        <f aca="false">IF(AND(ISNUMBER(B806),ISNUMBER(D806)),B806*D806,0)</f>
        <v>1.1</v>
      </c>
    </row>
    <row r="807" customFormat="false" ht="15" hidden="false" customHeight="false" outlineLevel="0" collapsed="false">
      <c r="A807" s="19" t="s">
        <v>932</v>
      </c>
      <c r="B807" s="22" t="n">
        <v>110</v>
      </c>
      <c r="C807" s="19" t="n">
        <v>19</v>
      </c>
      <c r="D807" s="23" t="n">
        <v>0</v>
      </c>
      <c r="E807" s="19" t="s">
        <v>135</v>
      </c>
      <c r="F807" s="19" t="s">
        <v>140</v>
      </c>
      <c r="G807" s="19" t="s">
        <v>864</v>
      </c>
      <c r="H807" s="19"/>
      <c r="I807" s="24" t="n">
        <f aca="false">IF(AND(ISNUMBER(B807),ISNUMBER(D807)),B807*D807,0)</f>
        <v>0</v>
      </c>
    </row>
    <row r="808" customFormat="false" ht="15" hidden="false" customHeight="false" outlineLevel="0" collapsed="false">
      <c r="A808" s="19" t="s">
        <v>933</v>
      </c>
      <c r="B808" s="22" t="n">
        <v>110</v>
      </c>
      <c r="C808" s="19" t="n">
        <v>14</v>
      </c>
      <c r="D808" s="23" t="n">
        <v>0.05</v>
      </c>
      <c r="E808" s="19" t="s">
        <v>145</v>
      </c>
      <c r="F808" s="19" t="s">
        <v>136</v>
      </c>
      <c r="G808" s="19" t="s">
        <v>864</v>
      </c>
      <c r="H808" s="19"/>
      <c r="I808" s="24" t="n">
        <f aca="false">IF(AND(ISNUMBER(B808),ISNUMBER(D808)),B808*D808,0)</f>
        <v>5.5</v>
      </c>
    </row>
    <row r="809" customFormat="false" ht="15" hidden="false" customHeight="false" outlineLevel="0" collapsed="false">
      <c r="A809" s="19" t="s">
        <v>934</v>
      </c>
      <c r="B809" s="22" t="n">
        <v>6600</v>
      </c>
      <c r="C809" s="19" t="n">
        <v>21</v>
      </c>
      <c r="D809" s="23" t="n">
        <v>0.47</v>
      </c>
      <c r="E809" s="19" t="s">
        <v>168</v>
      </c>
      <c r="F809" s="19" t="s">
        <v>161</v>
      </c>
      <c r="G809" s="19" t="s">
        <v>935</v>
      </c>
      <c r="H809" s="19"/>
      <c r="I809" s="24" t="n">
        <f aca="false">IF(AND(ISNUMBER(B809),ISNUMBER(D809)),B809*D809,0)</f>
        <v>3102</v>
      </c>
    </row>
    <row r="810" customFormat="false" ht="15" hidden="false" customHeight="false" outlineLevel="0" collapsed="false">
      <c r="A810" s="19" t="s">
        <v>936</v>
      </c>
      <c r="B810" s="22" t="n">
        <v>6600</v>
      </c>
      <c r="C810" s="19" t="n">
        <v>25</v>
      </c>
      <c r="D810" s="23" t="n">
        <v>1.25</v>
      </c>
      <c r="E810" s="19" t="s">
        <v>135</v>
      </c>
      <c r="F810" s="19" t="s">
        <v>161</v>
      </c>
      <c r="G810" s="19" t="s">
        <v>935</v>
      </c>
      <c r="H810" s="19"/>
      <c r="I810" s="24" t="n">
        <f aca="false">IF(AND(ISNUMBER(B810),ISNUMBER(D810)),B810*D810,0)</f>
        <v>8250</v>
      </c>
    </row>
    <row r="811" customFormat="false" ht="15" hidden="false" customHeight="false" outlineLevel="0" collapsed="false">
      <c r="A811" s="19" t="s">
        <v>937</v>
      </c>
      <c r="B811" s="22" t="n">
        <v>3600</v>
      </c>
      <c r="C811" s="19" t="n">
        <v>22</v>
      </c>
      <c r="D811" s="23" t="n">
        <v>0.94</v>
      </c>
      <c r="E811" s="19" t="s">
        <v>135</v>
      </c>
      <c r="F811" s="19" t="s">
        <v>140</v>
      </c>
      <c r="G811" s="19" t="s">
        <v>935</v>
      </c>
      <c r="H811" s="19"/>
      <c r="I811" s="24" t="n">
        <f aca="false">IF(AND(ISNUMBER(B811),ISNUMBER(D811)),B811*D811,0)</f>
        <v>3384</v>
      </c>
    </row>
    <row r="812" customFormat="false" ht="15" hidden="false" customHeight="false" outlineLevel="0" collapsed="false">
      <c r="A812" s="19" t="s">
        <v>938</v>
      </c>
      <c r="B812" s="22" t="n">
        <v>2900</v>
      </c>
      <c r="C812" s="19" t="n">
        <v>17</v>
      </c>
      <c r="D812" s="23" t="n">
        <v>0.39</v>
      </c>
      <c r="E812" s="19" t="s">
        <v>168</v>
      </c>
      <c r="F812" s="19" t="s">
        <v>140</v>
      </c>
      <c r="G812" s="19" t="s">
        <v>935</v>
      </c>
      <c r="H812" s="19"/>
      <c r="I812" s="24" t="n">
        <f aca="false">IF(AND(ISNUMBER(B812),ISNUMBER(D812)),B812*D812,0)</f>
        <v>1131</v>
      </c>
    </row>
    <row r="813" customFormat="false" ht="15" hidden="false" customHeight="false" outlineLevel="0" collapsed="false">
      <c r="A813" s="19" t="s">
        <v>939</v>
      </c>
      <c r="B813" s="22" t="n">
        <v>2400</v>
      </c>
      <c r="C813" s="19" t="n">
        <v>26</v>
      </c>
      <c r="D813" s="23" t="n">
        <v>0.53</v>
      </c>
      <c r="E813" s="19"/>
      <c r="F813" s="19" t="s">
        <v>140</v>
      </c>
      <c r="G813" s="19" t="s">
        <v>935</v>
      </c>
      <c r="H813" s="19"/>
      <c r="I813" s="24" t="n">
        <f aca="false">IF(AND(ISNUMBER(B813),ISNUMBER(D813)),B813*D813,0)</f>
        <v>1272</v>
      </c>
    </row>
    <row r="814" customFormat="false" ht="15" hidden="false" customHeight="false" outlineLevel="0" collapsed="false">
      <c r="A814" s="19" t="s">
        <v>940</v>
      </c>
      <c r="B814" s="22" t="n">
        <v>2400</v>
      </c>
      <c r="C814" s="19" t="n">
        <v>19</v>
      </c>
      <c r="D814" s="23" t="n">
        <v>0.5</v>
      </c>
      <c r="E814" s="19" t="s">
        <v>135</v>
      </c>
      <c r="F814" s="19" t="s">
        <v>161</v>
      </c>
      <c r="G814" s="19" t="s">
        <v>935</v>
      </c>
      <c r="H814" s="19"/>
      <c r="I814" s="24" t="n">
        <f aca="false">IF(AND(ISNUMBER(B814),ISNUMBER(D814)),B814*D814,0)</f>
        <v>1200</v>
      </c>
    </row>
    <row r="815" customFormat="false" ht="15" hidden="false" customHeight="false" outlineLevel="0" collapsed="false">
      <c r="A815" s="19" t="s">
        <v>941</v>
      </c>
      <c r="B815" s="22" t="n">
        <v>2400</v>
      </c>
      <c r="C815" s="19" t="n">
        <v>27</v>
      </c>
      <c r="D815" s="23" t="n">
        <v>1.86</v>
      </c>
      <c r="E815" s="19" t="s">
        <v>135</v>
      </c>
      <c r="F815" s="19" t="s">
        <v>136</v>
      </c>
      <c r="G815" s="19" t="s">
        <v>935</v>
      </c>
      <c r="H815" s="19"/>
      <c r="I815" s="24" t="n">
        <f aca="false">IF(AND(ISNUMBER(B815),ISNUMBER(D815)),B815*D815,0)</f>
        <v>4464</v>
      </c>
    </row>
    <row r="816" customFormat="false" ht="15" hidden="false" customHeight="false" outlineLevel="0" collapsed="false">
      <c r="A816" s="19" t="s">
        <v>942</v>
      </c>
      <c r="B816" s="22" t="n">
        <v>1900</v>
      </c>
      <c r="C816" s="19" t="n">
        <v>24</v>
      </c>
      <c r="D816" s="23" t="n">
        <v>0.74</v>
      </c>
      <c r="E816" s="19" t="s">
        <v>168</v>
      </c>
      <c r="F816" s="19" t="s">
        <v>140</v>
      </c>
      <c r="G816" s="19" t="s">
        <v>935</v>
      </c>
      <c r="H816" s="19"/>
      <c r="I816" s="24" t="n">
        <f aca="false">IF(AND(ISNUMBER(B816),ISNUMBER(D816)),B816*D816,0)</f>
        <v>1406</v>
      </c>
    </row>
    <row r="817" customFormat="false" ht="15" hidden="false" customHeight="false" outlineLevel="0" collapsed="false">
      <c r="A817" s="19" t="s">
        <v>943</v>
      </c>
      <c r="B817" s="22" t="n">
        <v>1900</v>
      </c>
      <c r="C817" s="19" t="n">
        <v>24</v>
      </c>
      <c r="D817" s="23" t="n">
        <v>0.74</v>
      </c>
      <c r="E817" s="19" t="s">
        <v>135</v>
      </c>
      <c r="F817" s="19" t="s">
        <v>140</v>
      </c>
      <c r="G817" s="19" t="s">
        <v>935</v>
      </c>
      <c r="H817" s="19"/>
      <c r="I817" s="24" t="n">
        <f aca="false">IF(AND(ISNUMBER(B817),ISNUMBER(D817)),B817*D817,0)</f>
        <v>1406</v>
      </c>
    </row>
    <row r="818" customFormat="false" ht="15" hidden="false" customHeight="false" outlineLevel="0" collapsed="false">
      <c r="A818" s="19" t="s">
        <v>944</v>
      </c>
      <c r="B818" s="22" t="n">
        <v>1900</v>
      </c>
      <c r="C818" s="19" t="n">
        <v>19</v>
      </c>
      <c r="D818" s="23" t="n">
        <v>0.58</v>
      </c>
      <c r="E818" s="19" t="s">
        <v>135</v>
      </c>
      <c r="F818" s="19" t="s">
        <v>161</v>
      </c>
      <c r="G818" s="19" t="s">
        <v>935</v>
      </c>
      <c r="H818" s="19"/>
      <c r="I818" s="24" t="n">
        <f aca="false">IF(AND(ISNUMBER(B818),ISNUMBER(D818)),B818*D818,0)</f>
        <v>1102</v>
      </c>
    </row>
    <row r="819" customFormat="false" ht="15" hidden="false" customHeight="false" outlineLevel="0" collapsed="false">
      <c r="A819" s="19" t="s">
        <v>945</v>
      </c>
      <c r="B819" s="22" t="n">
        <v>1900</v>
      </c>
      <c r="C819" s="19" t="n">
        <v>20</v>
      </c>
      <c r="D819" s="23" t="n">
        <v>0</v>
      </c>
      <c r="E819" s="19" t="s">
        <v>135</v>
      </c>
      <c r="F819" s="19" t="s">
        <v>140</v>
      </c>
      <c r="G819" s="19" t="s">
        <v>935</v>
      </c>
      <c r="H819" s="19"/>
      <c r="I819" s="24" t="n">
        <f aca="false">IF(AND(ISNUMBER(B819),ISNUMBER(D819)),B819*D819,0)</f>
        <v>0</v>
      </c>
    </row>
    <row r="820" customFormat="false" ht="15" hidden="false" customHeight="false" outlineLevel="0" collapsed="false">
      <c r="A820" s="19" t="s">
        <v>946</v>
      </c>
      <c r="B820" s="22" t="n">
        <v>1900</v>
      </c>
      <c r="C820" s="19" t="n">
        <v>9</v>
      </c>
      <c r="D820" s="23" t="n">
        <v>0.3</v>
      </c>
      <c r="E820" s="19"/>
      <c r="F820" s="19" t="s">
        <v>136</v>
      </c>
      <c r="G820" s="19" t="s">
        <v>935</v>
      </c>
      <c r="H820" s="19"/>
      <c r="I820" s="24" t="n">
        <f aca="false">IF(AND(ISNUMBER(B820),ISNUMBER(D820)),B820*D820,0)</f>
        <v>570</v>
      </c>
    </row>
    <row r="821" customFormat="false" ht="15" hidden="false" customHeight="false" outlineLevel="0" collapsed="false">
      <c r="A821" s="19" t="s">
        <v>947</v>
      </c>
      <c r="B821" s="22" t="n">
        <v>1600</v>
      </c>
      <c r="C821" s="19" t="n">
        <v>23</v>
      </c>
      <c r="D821" s="23" t="n">
        <v>1.3</v>
      </c>
      <c r="E821" s="19" t="s">
        <v>168</v>
      </c>
      <c r="F821" s="19" t="s">
        <v>140</v>
      </c>
      <c r="G821" s="19" t="s">
        <v>935</v>
      </c>
      <c r="H821" s="19"/>
      <c r="I821" s="24" t="n">
        <f aca="false">IF(AND(ISNUMBER(B821),ISNUMBER(D821)),B821*D821,0)</f>
        <v>2080</v>
      </c>
    </row>
    <row r="822" customFormat="false" ht="15" hidden="false" customHeight="false" outlineLevel="0" collapsed="false">
      <c r="A822" s="19" t="s">
        <v>948</v>
      </c>
      <c r="B822" s="22" t="n">
        <v>1600</v>
      </c>
      <c r="C822" s="19" t="n">
        <v>23</v>
      </c>
      <c r="D822" s="23" t="n">
        <v>0.66</v>
      </c>
      <c r="E822" s="19" t="s">
        <v>168</v>
      </c>
      <c r="F822" s="19" t="s">
        <v>140</v>
      </c>
      <c r="G822" s="19" t="s">
        <v>935</v>
      </c>
      <c r="H822" s="19"/>
      <c r="I822" s="24" t="n">
        <f aca="false">IF(AND(ISNUMBER(B822),ISNUMBER(D822)),B822*D822,0)</f>
        <v>1056</v>
      </c>
    </row>
    <row r="823" customFormat="false" ht="15" hidden="false" customHeight="false" outlineLevel="0" collapsed="false">
      <c r="A823" s="19" t="s">
        <v>949</v>
      </c>
      <c r="B823" s="22" t="n">
        <v>1600</v>
      </c>
      <c r="C823" s="19" t="n">
        <v>23</v>
      </c>
      <c r="D823" s="23" t="n">
        <v>0.96</v>
      </c>
      <c r="E823" s="19" t="s">
        <v>168</v>
      </c>
      <c r="F823" s="19" t="s">
        <v>140</v>
      </c>
      <c r="G823" s="19" t="s">
        <v>935</v>
      </c>
      <c r="H823" s="19"/>
      <c r="I823" s="24" t="n">
        <f aca="false">IF(AND(ISNUMBER(B823),ISNUMBER(D823)),B823*D823,0)</f>
        <v>1536</v>
      </c>
    </row>
    <row r="824" customFormat="false" ht="15" hidden="false" customHeight="false" outlineLevel="0" collapsed="false">
      <c r="A824" s="19" t="s">
        <v>950</v>
      </c>
      <c r="B824" s="22" t="n">
        <v>1600</v>
      </c>
      <c r="C824" s="19" t="n">
        <v>23</v>
      </c>
      <c r="D824" s="23" t="n">
        <v>0.54</v>
      </c>
      <c r="E824" s="19" t="s">
        <v>135</v>
      </c>
      <c r="F824" s="19" t="s">
        <v>161</v>
      </c>
      <c r="G824" s="19" t="s">
        <v>935</v>
      </c>
      <c r="H824" s="19"/>
      <c r="I824" s="24" t="n">
        <f aca="false">IF(AND(ISNUMBER(B824),ISNUMBER(D824)),B824*D824,0)</f>
        <v>864</v>
      </c>
    </row>
    <row r="825" customFormat="false" ht="15" hidden="false" customHeight="false" outlineLevel="0" collapsed="false">
      <c r="A825" s="19" t="s">
        <v>951</v>
      </c>
      <c r="B825" s="22" t="n">
        <v>1600</v>
      </c>
      <c r="C825" s="19" t="n">
        <v>26</v>
      </c>
      <c r="D825" s="23" t="n">
        <v>1.72</v>
      </c>
      <c r="E825" s="19" t="s">
        <v>135</v>
      </c>
      <c r="F825" s="19" t="s">
        <v>161</v>
      </c>
      <c r="G825" s="19" t="s">
        <v>935</v>
      </c>
      <c r="H825" s="19"/>
      <c r="I825" s="24" t="n">
        <f aca="false">IF(AND(ISNUMBER(B825),ISNUMBER(D825)),B825*D825,0)</f>
        <v>2752</v>
      </c>
    </row>
    <row r="826" customFormat="false" ht="15" hidden="false" customHeight="false" outlineLevel="0" collapsed="false">
      <c r="A826" s="19" t="s">
        <v>952</v>
      </c>
      <c r="B826" s="22" t="n">
        <v>1300</v>
      </c>
      <c r="C826" s="19" t="n">
        <v>13</v>
      </c>
      <c r="D826" s="23" t="n">
        <v>0.6</v>
      </c>
      <c r="E826" s="19" t="s">
        <v>168</v>
      </c>
      <c r="F826" s="19" t="s">
        <v>140</v>
      </c>
      <c r="G826" s="19" t="s">
        <v>935</v>
      </c>
      <c r="H826" s="19"/>
      <c r="I826" s="24" t="n">
        <f aca="false">IF(AND(ISNUMBER(B826),ISNUMBER(D826)),B826*D826,0)</f>
        <v>780</v>
      </c>
    </row>
    <row r="827" customFormat="false" ht="15" hidden="false" customHeight="false" outlineLevel="0" collapsed="false">
      <c r="A827" s="19" t="s">
        <v>953</v>
      </c>
      <c r="B827" s="22" t="n">
        <v>1300</v>
      </c>
      <c r="C827" s="19" t="n">
        <v>22</v>
      </c>
      <c r="D827" s="23" t="n">
        <v>0.58</v>
      </c>
      <c r="E827" s="19" t="s">
        <v>168</v>
      </c>
      <c r="F827" s="19" t="s">
        <v>140</v>
      </c>
      <c r="G827" s="19" t="s">
        <v>935</v>
      </c>
      <c r="H827" s="19"/>
      <c r="I827" s="24" t="n">
        <f aca="false">IF(AND(ISNUMBER(B827),ISNUMBER(D827)),B827*D827,0)</f>
        <v>754</v>
      </c>
    </row>
    <row r="828" customFormat="false" ht="15" hidden="false" customHeight="false" outlineLevel="0" collapsed="false">
      <c r="A828" s="19" t="s">
        <v>954</v>
      </c>
      <c r="B828" s="22" t="n">
        <v>1300</v>
      </c>
      <c r="C828" s="19" t="n">
        <v>20</v>
      </c>
      <c r="D828" s="23" t="n">
        <v>0.23</v>
      </c>
      <c r="E828" s="19" t="s">
        <v>135</v>
      </c>
      <c r="F828" s="19" t="s">
        <v>161</v>
      </c>
      <c r="G828" s="19" t="s">
        <v>935</v>
      </c>
      <c r="H828" s="19"/>
      <c r="I828" s="24" t="n">
        <f aca="false">IF(AND(ISNUMBER(B828),ISNUMBER(D828)),B828*D828,0)</f>
        <v>299</v>
      </c>
    </row>
    <row r="829" customFormat="false" ht="15" hidden="false" customHeight="false" outlineLevel="0" collapsed="false">
      <c r="A829" s="19" t="s">
        <v>955</v>
      </c>
      <c r="B829" s="22" t="n">
        <v>1300</v>
      </c>
      <c r="C829" s="19" t="n">
        <v>18</v>
      </c>
      <c r="D829" s="23" t="n">
        <v>0.92</v>
      </c>
      <c r="E829" s="19" t="s">
        <v>145</v>
      </c>
      <c r="F829" s="19" t="s">
        <v>161</v>
      </c>
      <c r="G829" s="19" t="s">
        <v>935</v>
      </c>
      <c r="H829" s="19"/>
      <c r="I829" s="24" t="n">
        <f aca="false">IF(AND(ISNUMBER(B829),ISNUMBER(D829)),B829*D829,0)</f>
        <v>1196</v>
      </c>
    </row>
    <row r="830" customFormat="false" ht="15" hidden="false" customHeight="false" outlineLevel="0" collapsed="false">
      <c r="A830" s="19" t="s">
        <v>956</v>
      </c>
      <c r="B830" s="22" t="n">
        <v>1300</v>
      </c>
      <c r="C830" s="19" t="n">
        <v>11</v>
      </c>
      <c r="D830" s="23" t="n">
        <v>1.59</v>
      </c>
      <c r="E830" s="19" t="s">
        <v>135</v>
      </c>
      <c r="F830" s="19" t="s">
        <v>161</v>
      </c>
      <c r="G830" s="19" t="s">
        <v>935</v>
      </c>
      <c r="H830" s="19"/>
      <c r="I830" s="24" t="n">
        <f aca="false">IF(AND(ISNUMBER(B830),ISNUMBER(D830)),B830*D830,0)</f>
        <v>2067</v>
      </c>
    </row>
    <row r="831" customFormat="false" ht="15" hidden="false" customHeight="false" outlineLevel="0" collapsed="false">
      <c r="A831" s="19" t="s">
        <v>957</v>
      </c>
      <c r="B831" s="22" t="n">
        <v>1300</v>
      </c>
      <c r="C831" s="19" t="n">
        <v>10</v>
      </c>
      <c r="D831" s="23" t="n">
        <v>0.54</v>
      </c>
      <c r="E831" s="19" t="s">
        <v>135</v>
      </c>
      <c r="F831" s="19" t="s">
        <v>161</v>
      </c>
      <c r="G831" s="19" t="s">
        <v>935</v>
      </c>
      <c r="H831" s="19"/>
      <c r="I831" s="24" t="n">
        <f aca="false">IF(AND(ISNUMBER(B831),ISNUMBER(D831)),B831*D831,0)</f>
        <v>702</v>
      </c>
    </row>
    <row r="832" customFormat="false" ht="15" hidden="false" customHeight="false" outlineLevel="0" collapsed="false">
      <c r="A832" s="19" t="s">
        <v>958</v>
      </c>
      <c r="B832" s="22" t="n">
        <v>1300</v>
      </c>
      <c r="C832" s="19" t="n">
        <v>23</v>
      </c>
      <c r="D832" s="23" t="n">
        <v>0.92</v>
      </c>
      <c r="E832" s="19" t="s">
        <v>135</v>
      </c>
      <c r="F832" s="19" t="s">
        <v>136</v>
      </c>
      <c r="G832" s="19" t="s">
        <v>935</v>
      </c>
      <c r="H832" s="19"/>
      <c r="I832" s="24" t="n">
        <f aca="false">IF(AND(ISNUMBER(B832),ISNUMBER(D832)),B832*D832,0)</f>
        <v>1196</v>
      </c>
    </row>
    <row r="833" customFormat="false" ht="15" hidden="false" customHeight="false" outlineLevel="0" collapsed="false">
      <c r="A833" s="19" t="s">
        <v>959</v>
      </c>
      <c r="B833" s="22" t="n">
        <v>1300</v>
      </c>
      <c r="C833" s="19" t="n">
        <v>23</v>
      </c>
      <c r="D833" s="23" t="n">
        <v>0</v>
      </c>
      <c r="E833" s="19" t="s">
        <v>135</v>
      </c>
      <c r="F833" s="19" t="s">
        <v>136</v>
      </c>
      <c r="G833" s="19" t="s">
        <v>935</v>
      </c>
      <c r="H833" s="19"/>
      <c r="I833" s="24" t="n">
        <f aca="false">IF(AND(ISNUMBER(B833),ISNUMBER(D833)),B833*D833,0)</f>
        <v>0</v>
      </c>
    </row>
    <row r="834" customFormat="false" ht="15" hidden="false" customHeight="false" outlineLevel="0" collapsed="false">
      <c r="A834" s="19" t="s">
        <v>960</v>
      </c>
      <c r="B834" s="22" t="n">
        <v>1300</v>
      </c>
      <c r="C834" s="19" t="n">
        <v>22</v>
      </c>
      <c r="D834" s="23" t="n">
        <v>0</v>
      </c>
      <c r="E834" s="19" t="s">
        <v>135</v>
      </c>
      <c r="F834" s="19" t="s">
        <v>136</v>
      </c>
      <c r="G834" s="19" t="s">
        <v>935</v>
      </c>
      <c r="H834" s="19"/>
      <c r="I834" s="24" t="n">
        <f aca="false">IF(AND(ISNUMBER(B834),ISNUMBER(D834)),B834*D834,0)</f>
        <v>0</v>
      </c>
    </row>
    <row r="835" customFormat="false" ht="15" hidden="false" customHeight="false" outlineLevel="0" collapsed="false">
      <c r="A835" s="19" t="s">
        <v>961</v>
      </c>
      <c r="B835" s="22" t="n">
        <v>1000</v>
      </c>
      <c r="C835" s="19" t="n">
        <v>12</v>
      </c>
      <c r="D835" s="23" t="n">
        <v>0.7</v>
      </c>
      <c r="E835" s="19" t="s">
        <v>135</v>
      </c>
      <c r="F835" s="19" t="s">
        <v>161</v>
      </c>
      <c r="G835" s="19" t="s">
        <v>935</v>
      </c>
      <c r="H835" s="19"/>
      <c r="I835" s="24" t="n">
        <f aca="false">IF(AND(ISNUMBER(B835),ISNUMBER(D835)),B835*D835,0)</f>
        <v>700</v>
      </c>
    </row>
    <row r="836" customFormat="false" ht="15" hidden="false" customHeight="false" outlineLevel="0" collapsed="false">
      <c r="A836" s="19" t="s">
        <v>962</v>
      </c>
      <c r="B836" s="22" t="n">
        <v>1000</v>
      </c>
      <c r="C836" s="19" t="n">
        <v>28</v>
      </c>
      <c r="D836" s="23" t="n">
        <v>0.66</v>
      </c>
      <c r="E836" s="19" t="s">
        <v>135</v>
      </c>
      <c r="F836" s="19" t="s">
        <v>161</v>
      </c>
      <c r="G836" s="19" t="s">
        <v>935</v>
      </c>
      <c r="H836" s="19"/>
      <c r="I836" s="24" t="n">
        <f aca="false">IF(AND(ISNUMBER(B836),ISNUMBER(D836)),B836*D836,0)</f>
        <v>660</v>
      </c>
    </row>
    <row r="837" customFormat="false" ht="15" hidden="false" customHeight="false" outlineLevel="0" collapsed="false">
      <c r="A837" s="19" t="s">
        <v>963</v>
      </c>
      <c r="B837" s="22" t="n">
        <v>1000</v>
      </c>
      <c r="C837" s="19" t="n">
        <v>13</v>
      </c>
      <c r="D837" s="23" t="n">
        <v>0.75</v>
      </c>
      <c r="E837" s="19" t="s">
        <v>135</v>
      </c>
      <c r="F837" s="19" t="s">
        <v>161</v>
      </c>
      <c r="G837" s="19" t="s">
        <v>935</v>
      </c>
      <c r="H837" s="19"/>
      <c r="I837" s="24" t="n">
        <f aca="false">IF(AND(ISNUMBER(B837),ISNUMBER(D837)),B837*D837,0)</f>
        <v>750</v>
      </c>
    </row>
    <row r="838" customFormat="false" ht="15" hidden="false" customHeight="false" outlineLevel="0" collapsed="false">
      <c r="A838" s="19" t="s">
        <v>964</v>
      </c>
      <c r="B838" s="22" t="n">
        <v>1000</v>
      </c>
      <c r="C838" s="19" t="n">
        <v>24</v>
      </c>
      <c r="D838" s="23" t="n">
        <v>0.71</v>
      </c>
      <c r="E838" s="19" t="s">
        <v>135</v>
      </c>
      <c r="F838" s="19" t="s">
        <v>161</v>
      </c>
      <c r="G838" s="19" t="s">
        <v>935</v>
      </c>
      <c r="H838" s="19"/>
      <c r="I838" s="24" t="n">
        <f aca="false">IF(AND(ISNUMBER(B838),ISNUMBER(D838)),B838*D838,0)</f>
        <v>710</v>
      </c>
    </row>
    <row r="839" customFormat="false" ht="15" hidden="false" customHeight="false" outlineLevel="0" collapsed="false">
      <c r="A839" s="19" t="s">
        <v>965</v>
      </c>
      <c r="B839" s="22" t="n">
        <v>1000</v>
      </c>
      <c r="C839" s="19" t="n">
        <v>18</v>
      </c>
      <c r="D839" s="23" t="n">
        <v>0.74</v>
      </c>
      <c r="E839" s="19" t="s">
        <v>135</v>
      </c>
      <c r="F839" s="19" t="s">
        <v>161</v>
      </c>
      <c r="G839" s="19" t="s">
        <v>935</v>
      </c>
      <c r="H839" s="19"/>
      <c r="I839" s="24" t="n">
        <f aca="false">IF(AND(ISNUMBER(B839),ISNUMBER(D839)),B839*D839,0)</f>
        <v>740</v>
      </c>
    </row>
    <row r="840" customFormat="false" ht="15" hidden="false" customHeight="false" outlineLevel="0" collapsed="false">
      <c r="A840" s="19" t="s">
        <v>966</v>
      </c>
      <c r="B840" s="22" t="n">
        <v>1000</v>
      </c>
      <c r="C840" s="19" t="n">
        <v>18</v>
      </c>
      <c r="D840" s="23" t="n">
        <v>0.19</v>
      </c>
      <c r="E840" s="19" t="s">
        <v>135</v>
      </c>
      <c r="F840" s="19" t="s">
        <v>161</v>
      </c>
      <c r="G840" s="19" t="s">
        <v>935</v>
      </c>
      <c r="H840" s="19"/>
      <c r="I840" s="24" t="n">
        <f aca="false">IF(AND(ISNUMBER(B840),ISNUMBER(D840)),B840*D840,0)</f>
        <v>190</v>
      </c>
    </row>
    <row r="841" customFormat="false" ht="15" hidden="false" customHeight="false" outlineLevel="0" collapsed="false">
      <c r="A841" s="19" t="s">
        <v>967</v>
      </c>
      <c r="B841" s="22" t="n">
        <v>1000</v>
      </c>
      <c r="C841" s="19" t="n">
        <v>16</v>
      </c>
      <c r="D841" s="23" t="n">
        <v>0.45</v>
      </c>
      <c r="E841" s="19" t="s">
        <v>135</v>
      </c>
      <c r="F841" s="19" t="s">
        <v>161</v>
      </c>
      <c r="G841" s="19" t="s">
        <v>935</v>
      </c>
      <c r="H841" s="19"/>
      <c r="I841" s="24" t="n">
        <f aca="false">IF(AND(ISNUMBER(B841),ISNUMBER(D841)),B841*D841,0)</f>
        <v>450</v>
      </c>
    </row>
    <row r="842" customFormat="false" ht="15" hidden="false" customHeight="false" outlineLevel="0" collapsed="false">
      <c r="A842" s="19" t="s">
        <v>968</v>
      </c>
      <c r="B842" s="22" t="n">
        <v>1000</v>
      </c>
      <c r="C842" s="19" t="n">
        <v>14</v>
      </c>
      <c r="D842" s="23" t="n">
        <v>0.55</v>
      </c>
      <c r="E842" s="19" t="s">
        <v>135</v>
      </c>
      <c r="F842" s="19" t="s">
        <v>136</v>
      </c>
      <c r="G842" s="19" t="s">
        <v>935</v>
      </c>
      <c r="H842" s="19"/>
      <c r="I842" s="24" t="n">
        <f aca="false">IF(AND(ISNUMBER(B842),ISNUMBER(D842)),B842*D842,0)</f>
        <v>550</v>
      </c>
    </row>
    <row r="843" customFormat="false" ht="15" hidden="false" customHeight="false" outlineLevel="0" collapsed="false">
      <c r="A843" s="19" t="s">
        <v>969</v>
      </c>
      <c r="B843" s="22" t="n">
        <v>1000</v>
      </c>
      <c r="C843" s="19" t="n">
        <v>20</v>
      </c>
      <c r="D843" s="23" t="n">
        <v>0.21</v>
      </c>
      <c r="E843" s="19" t="s">
        <v>135</v>
      </c>
      <c r="F843" s="19" t="s">
        <v>136</v>
      </c>
      <c r="G843" s="19" t="s">
        <v>935</v>
      </c>
      <c r="H843" s="19"/>
      <c r="I843" s="24" t="n">
        <f aca="false">IF(AND(ISNUMBER(B843),ISNUMBER(D843)),B843*D843,0)</f>
        <v>210</v>
      </c>
    </row>
    <row r="844" customFormat="false" ht="15" hidden="false" customHeight="false" outlineLevel="0" collapsed="false">
      <c r="A844" s="19" t="s">
        <v>970</v>
      </c>
      <c r="B844" s="22" t="n">
        <v>880</v>
      </c>
      <c r="C844" s="19" t="n">
        <v>17</v>
      </c>
      <c r="D844" s="23" t="n">
        <v>1.03</v>
      </c>
      <c r="E844" s="19" t="s">
        <v>135</v>
      </c>
      <c r="F844" s="19" t="s">
        <v>140</v>
      </c>
      <c r="G844" s="19" t="s">
        <v>935</v>
      </c>
      <c r="H844" s="19"/>
      <c r="I844" s="24" t="n">
        <f aca="false">IF(AND(ISNUMBER(B844),ISNUMBER(D844)),B844*D844,0)</f>
        <v>906.4</v>
      </c>
    </row>
    <row r="845" customFormat="false" ht="15" hidden="false" customHeight="false" outlineLevel="0" collapsed="false">
      <c r="A845" s="19" t="s">
        <v>971</v>
      </c>
      <c r="B845" s="22" t="n">
        <v>880</v>
      </c>
      <c r="C845" s="19" t="n">
        <v>27</v>
      </c>
      <c r="D845" s="23" t="n">
        <v>0.44</v>
      </c>
      <c r="E845" s="19" t="s">
        <v>135</v>
      </c>
      <c r="F845" s="19" t="s">
        <v>161</v>
      </c>
      <c r="G845" s="19" t="s">
        <v>935</v>
      </c>
      <c r="H845" s="19"/>
      <c r="I845" s="24" t="n">
        <f aca="false">IF(AND(ISNUMBER(B845),ISNUMBER(D845)),B845*D845,0)</f>
        <v>387.2</v>
      </c>
    </row>
    <row r="846" customFormat="false" ht="15" hidden="false" customHeight="false" outlineLevel="0" collapsed="false">
      <c r="A846" s="19" t="s">
        <v>972</v>
      </c>
      <c r="B846" s="22" t="n">
        <v>880</v>
      </c>
      <c r="C846" s="19" t="n">
        <v>18</v>
      </c>
      <c r="D846" s="23" t="n">
        <v>0.31</v>
      </c>
      <c r="E846" s="19" t="s">
        <v>135</v>
      </c>
      <c r="F846" s="19" t="s">
        <v>161</v>
      </c>
      <c r="G846" s="19" t="s">
        <v>935</v>
      </c>
      <c r="H846" s="19"/>
      <c r="I846" s="24" t="n">
        <f aca="false">IF(AND(ISNUMBER(B846),ISNUMBER(D846)),B846*D846,0)</f>
        <v>272.8</v>
      </c>
    </row>
    <row r="847" customFormat="false" ht="15" hidden="false" customHeight="false" outlineLevel="0" collapsed="false">
      <c r="A847" s="19" t="s">
        <v>973</v>
      </c>
      <c r="B847" s="22" t="n">
        <v>880</v>
      </c>
      <c r="C847" s="19" t="n">
        <v>22</v>
      </c>
      <c r="D847" s="23" t="n">
        <v>0.52</v>
      </c>
      <c r="E847" s="19" t="s">
        <v>135</v>
      </c>
      <c r="F847" s="19" t="s">
        <v>161</v>
      </c>
      <c r="G847" s="19" t="s">
        <v>935</v>
      </c>
      <c r="H847" s="19"/>
      <c r="I847" s="24" t="n">
        <f aca="false">IF(AND(ISNUMBER(B847),ISNUMBER(D847)),B847*D847,0)</f>
        <v>457.6</v>
      </c>
    </row>
    <row r="848" customFormat="false" ht="15" hidden="false" customHeight="false" outlineLevel="0" collapsed="false">
      <c r="A848" s="19" t="s">
        <v>974</v>
      </c>
      <c r="B848" s="22" t="n">
        <v>880</v>
      </c>
      <c r="C848" s="19" t="n">
        <v>22</v>
      </c>
      <c r="D848" s="23" t="n">
        <v>0.5</v>
      </c>
      <c r="E848" s="19" t="s">
        <v>135</v>
      </c>
      <c r="F848" s="19" t="s">
        <v>161</v>
      </c>
      <c r="G848" s="19" t="s">
        <v>935</v>
      </c>
      <c r="H848" s="19"/>
      <c r="I848" s="24" t="n">
        <f aca="false">IF(AND(ISNUMBER(B848),ISNUMBER(D848)),B848*D848,0)</f>
        <v>440</v>
      </c>
    </row>
    <row r="849" customFormat="false" ht="15" hidden="false" customHeight="false" outlineLevel="0" collapsed="false">
      <c r="A849" s="19" t="s">
        <v>975</v>
      </c>
      <c r="B849" s="22" t="n">
        <v>880</v>
      </c>
      <c r="C849" s="19" t="n">
        <v>28</v>
      </c>
      <c r="D849" s="23" t="n">
        <v>0.33</v>
      </c>
      <c r="E849" s="19" t="s">
        <v>135</v>
      </c>
      <c r="F849" s="19" t="s">
        <v>161</v>
      </c>
      <c r="G849" s="19" t="s">
        <v>935</v>
      </c>
      <c r="H849" s="19"/>
      <c r="I849" s="24" t="n">
        <f aca="false">IF(AND(ISNUMBER(B849),ISNUMBER(D849)),B849*D849,0)</f>
        <v>290.4</v>
      </c>
    </row>
    <row r="850" customFormat="false" ht="15" hidden="false" customHeight="false" outlineLevel="0" collapsed="false">
      <c r="A850" s="19" t="s">
        <v>976</v>
      </c>
      <c r="B850" s="22" t="n">
        <v>880</v>
      </c>
      <c r="C850" s="19" t="n">
        <v>21</v>
      </c>
      <c r="D850" s="23" t="n">
        <v>0.3</v>
      </c>
      <c r="E850" s="19" t="s">
        <v>135</v>
      </c>
      <c r="F850" s="19" t="s">
        <v>161</v>
      </c>
      <c r="G850" s="19" t="s">
        <v>935</v>
      </c>
      <c r="H850" s="19"/>
      <c r="I850" s="24" t="n">
        <f aca="false">IF(AND(ISNUMBER(B850),ISNUMBER(D850)),B850*D850,0)</f>
        <v>264</v>
      </c>
    </row>
    <row r="851" customFormat="false" ht="15" hidden="false" customHeight="false" outlineLevel="0" collapsed="false">
      <c r="A851" s="19" t="s">
        <v>977</v>
      </c>
      <c r="B851" s="22" t="n">
        <v>880</v>
      </c>
      <c r="C851" s="19" t="n">
        <v>26</v>
      </c>
      <c r="D851" s="23" t="n">
        <v>0.66</v>
      </c>
      <c r="E851" s="19" t="s">
        <v>135</v>
      </c>
      <c r="F851" s="19" t="s">
        <v>161</v>
      </c>
      <c r="G851" s="19" t="s">
        <v>935</v>
      </c>
      <c r="H851" s="19"/>
      <c r="I851" s="24" t="n">
        <f aca="false">IF(AND(ISNUMBER(B851),ISNUMBER(D851)),B851*D851,0)</f>
        <v>580.8</v>
      </c>
    </row>
    <row r="852" customFormat="false" ht="15" hidden="false" customHeight="false" outlineLevel="0" collapsed="false">
      <c r="A852" s="19" t="s">
        <v>978</v>
      </c>
      <c r="B852" s="22" t="n">
        <v>880</v>
      </c>
      <c r="C852" s="19" t="n">
        <v>21</v>
      </c>
      <c r="D852" s="23" t="n">
        <v>0.66</v>
      </c>
      <c r="E852" s="19" t="s">
        <v>135</v>
      </c>
      <c r="F852" s="19" t="s">
        <v>136</v>
      </c>
      <c r="G852" s="19" t="s">
        <v>935</v>
      </c>
      <c r="H852" s="19"/>
      <c r="I852" s="24" t="n">
        <f aca="false">IF(AND(ISNUMBER(B852),ISNUMBER(D852)),B852*D852,0)</f>
        <v>580.8</v>
      </c>
    </row>
    <row r="853" customFormat="false" ht="15" hidden="false" customHeight="false" outlineLevel="0" collapsed="false">
      <c r="A853" s="19" t="s">
        <v>979</v>
      </c>
      <c r="B853" s="22" t="n">
        <v>880</v>
      </c>
      <c r="C853" s="19" t="n">
        <v>29</v>
      </c>
      <c r="D853" s="23" t="n">
        <v>0</v>
      </c>
      <c r="E853" s="19" t="s">
        <v>135</v>
      </c>
      <c r="F853" s="19" t="s">
        <v>136</v>
      </c>
      <c r="G853" s="19" t="s">
        <v>935</v>
      </c>
      <c r="H853" s="19"/>
      <c r="I853" s="24" t="n">
        <f aca="false">IF(AND(ISNUMBER(B853),ISNUMBER(D853)),B853*D853,0)</f>
        <v>0</v>
      </c>
    </row>
    <row r="854" customFormat="false" ht="15" hidden="false" customHeight="false" outlineLevel="0" collapsed="false">
      <c r="A854" s="19" t="s">
        <v>980</v>
      </c>
      <c r="B854" s="22" t="n">
        <v>720</v>
      </c>
      <c r="C854" s="19" t="n">
        <v>9</v>
      </c>
      <c r="D854" s="23" t="n">
        <v>0.69</v>
      </c>
      <c r="E854" s="19" t="s">
        <v>168</v>
      </c>
      <c r="F854" s="19" t="s">
        <v>140</v>
      </c>
      <c r="G854" s="19" t="s">
        <v>935</v>
      </c>
      <c r="H854" s="19"/>
      <c r="I854" s="24" t="n">
        <f aca="false">IF(AND(ISNUMBER(B854),ISNUMBER(D854)),B854*D854,0)</f>
        <v>496.8</v>
      </c>
    </row>
    <row r="855" customFormat="false" ht="15" hidden="false" customHeight="false" outlineLevel="0" collapsed="false">
      <c r="A855" s="19" t="s">
        <v>981</v>
      </c>
      <c r="B855" s="22" t="n">
        <v>720</v>
      </c>
      <c r="C855" s="19" t="n">
        <v>10</v>
      </c>
      <c r="D855" s="23" t="n">
        <v>0.7</v>
      </c>
      <c r="E855" s="19" t="s">
        <v>168</v>
      </c>
      <c r="F855" s="19" t="s">
        <v>140</v>
      </c>
      <c r="G855" s="19" t="s">
        <v>935</v>
      </c>
      <c r="H855" s="19"/>
      <c r="I855" s="24" t="n">
        <f aca="false">IF(AND(ISNUMBER(B855),ISNUMBER(D855)),B855*D855,0)</f>
        <v>504</v>
      </c>
    </row>
    <row r="856" customFormat="false" ht="15" hidden="false" customHeight="false" outlineLevel="0" collapsed="false">
      <c r="A856" s="19" t="s">
        <v>982</v>
      </c>
      <c r="B856" s="22" t="n">
        <v>720</v>
      </c>
      <c r="C856" s="19" t="n">
        <v>14</v>
      </c>
      <c r="D856" s="23" t="n">
        <v>0.6</v>
      </c>
      <c r="E856" s="19" t="s">
        <v>135</v>
      </c>
      <c r="F856" s="19" t="s">
        <v>161</v>
      </c>
      <c r="G856" s="19" t="s">
        <v>935</v>
      </c>
      <c r="H856" s="19"/>
      <c r="I856" s="24" t="n">
        <f aca="false">IF(AND(ISNUMBER(B856),ISNUMBER(D856)),B856*D856,0)</f>
        <v>432</v>
      </c>
    </row>
    <row r="857" customFormat="false" ht="15" hidden="false" customHeight="false" outlineLevel="0" collapsed="false">
      <c r="A857" s="19" t="s">
        <v>983</v>
      </c>
      <c r="B857" s="22" t="n">
        <v>720</v>
      </c>
      <c r="C857" s="19" t="n">
        <v>24</v>
      </c>
      <c r="D857" s="23" t="n">
        <v>0.3</v>
      </c>
      <c r="E857" s="19" t="s">
        <v>135</v>
      </c>
      <c r="F857" s="19" t="s">
        <v>161</v>
      </c>
      <c r="G857" s="19" t="s">
        <v>935</v>
      </c>
      <c r="H857" s="19"/>
      <c r="I857" s="24" t="n">
        <f aca="false">IF(AND(ISNUMBER(B857),ISNUMBER(D857)),B857*D857,0)</f>
        <v>216</v>
      </c>
    </row>
    <row r="858" customFormat="false" ht="15" hidden="false" customHeight="false" outlineLevel="0" collapsed="false">
      <c r="A858" s="19" t="s">
        <v>984</v>
      </c>
      <c r="B858" s="22" t="n">
        <v>720</v>
      </c>
      <c r="C858" s="19" t="n">
        <v>23</v>
      </c>
      <c r="D858" s="23" t="n">
        <v>0.19</v>
      </c>
      <c r="E858" s="19" t="s">
        <v>135</v>
      </c>
      <c r="F858" s="19" t="s">
        <v>161</v>
      </c>
      <c r="G858" s="19" t="s">
        <v>935</v>
      </c>
      <c r="H858" s="19"/>
      <c r="I858" s="24" t="n">
        <f aca="false">IF(AND(ISNUMBER(B858),ISNUMBER(D858)),B858*D858,0)</f>
        <v>136.8</v>
      </c>
    </row>
    <row r="859" customFormat="false" ht="15" hidden="false" customHeight="false" outlineLevel="0" collapsed="false">
      <c r="A859" s="19" t="s">
        <v>985</v>
      </c>
      <c r="B859" s="22" t="n">
        <v>720</v>
      </c>
      <c r="C859" s="19" t="n">
        <v>19</v>
      </c>
      <c r="D859" s="23" t="n">
        <v>0.27</v>
      </c>
      <c r="E859" s="19" t="s">
        <v>135</v>
      </c>
      <c r="F859" s="19" t="s">
        <v>161</v>
      </c>
      <c r="G859" s="19" t="s">
        <v>935</v>
      </c>
      <c r="H859" s="19"/>
      <c r="I859" s="24" t="n">
        <f aca="false">IF(AND(ISNUMBER(B859),ISNUMBER(D859)),B859*D859,0)</f>
        <v>194.4</v>
      </c>
    </row>
    <row r="860" customFormat="false" ht="15" hidden="false" customHeight="false" outlineLevel="0" collapsed="false">
      <c r="A860" s="19" t="s">
        <v>986</v>
      </c>
      <c r="B860" s="22" t="n">
        <v>720</v>
      </c>
      <c r="C860" s="19" t="n">
        <v>22</v>
      </c>
      <c r="D860" s="23" t="n">
        <v>0.58</v>
      </c>
      <c r="E860" s="19" t="s">
        <v>135</v>
      </c>
      <c r="F860" s="19" t="s">
        <v>161</v>
      </c>
      <c r="G860" s="19" t="s">
        <v>935</v>
      </c>
      <c r="H860" s="19"/>
      <c r="I860" s="24" t="n">
        <f aca="false">IF(AND(ISNUMBER(B860),ISNUMBER(D860)),B860*D860,0)</f>
        <v>417.6</v>
      </c>
    </row>
    <row r="861" customFormat="false" ht="15" hidden="false" customHeight="false" outlineLevel="0" collapsed="false">
      <c r="A861" s="19" t="s">
        <v>987</v>
      </c>
      <c r="B861" s="22" t="n">
        <v>720</v>
      </c>
      <c r="C861" s="19" t="n">
        <v>21</v>
      </c>
      <c r="D861" s="23" t="n">
        <v>0.35</v>
      </c>
      <c r="E861" s="19" t="s">
        <v>135</v>
      </c>
      <c r="F861" s="19" t="s">
        <v>161</v>
      </c>
      <c r="G861" s="19" t="s">
        <v>935</v>
      </c>
      <c r="H861" s="19"/>
      <c r="I861" s="24" t="n">
        <f aca="false">IF(AND(ISNUMBER(B861),ISNUMBER(D861)),B861*D861,0)</f>
        <v>252</v>
      </c>
    </row>
    <row r="862" customFormat="false" ht="15" hidden="false" customHeight="false" outlineLevel="0" collapsed="false">
      <c r="A862" s="19" t="s">
        <v>988</v>
      </c>
      <c r="B862" s="22" t="n">
        <v>720</v>
      </c>
      <c r="C862" s="19" t="n">
        <v>27</v>
      </c>
      <c r="D862" s="23" t="n">
        <v>1.62</v>
      </c>
      <c r="E862" s="19" t="s">
        <v>135</v>
      </c>
      <c r="F862" s="19" t="s">
        <v>161</v>
      </c>
      <c r="G862" s="19" t="s">
        <v>935</v>
      </c>
      <c r="H862" s="19"/>
      <c r="I862" s="24" t="n">
        <f aca="false">IF(AND(ISNUMBER(B862),ISNUMBER(D862)),B862*D862,0)</f>
        <v>1166.4</v>
      </c>
    </row>
    <row r="863" customFormat="false" ht="15" hidden="false" customHeight="false" outlineLevel="0" collapsed="false">
      <c r="A863" s="19" t="s">
        <v>989</v>
      </c>
      <c r="B863" s="22" t="n">
        <v>720</v>
      </c>
      <c r="C863" s="19" t="n">
        <v>18</v>
      </c>
      <c r="D863" s="23" t="n">
        <v>0.27</v>
      </c>
      <c r="E863" s="19" t="s">
        <v>135</v>
      </c>
      <c r="F863" s="19" t="s">
        <v>161</v>
      </c>
      <c r="G863" s="19" t="s">
        <v>935</v>
      </c>
      <c r="H863" s="19"/>
      <c r="I863" s="24" t="n">
        <f aca="false">IF(AND(ISNUMBER(B863),ISNUMBER(D863)),B863*D863,0)</f>
        <v>194.4</v>
      </c>
    </row>
    <row r="864" customFormat="false" ht="15" hidden="false" customHeight="false" outlineLevel="0" collapsed="false">
      <c r="A864" s="19" t="s">
        <v>990</v>
      </c>
      <c r="B864" s="22" t="n">
        <v>720</v>
      </c>
      <c r="C864" s="19" t="n">
        <v>24</v>
      </c>
      <c r="D864" s="23" t="n">
        <v>0.7</v>
      </c>
      <c r="E864" s="19" t="s">
        <v>135</v>
      </c>
      <c r="F864" s="19" t="s">
        <v>140</v>
      </c>
      <c r="G864" s="19" t="s">
        <v>935</v>
      </c>
      <c r="H864" s="19"/>
      <c r="I864" s="24" t="n">
        <f aca="false">IF(AND(ISNUMBER(B864),ISNUMBER(D864)),B864*D864,0)</f>
        <v>504</v>
      </c>
    </row>
    <row r="865" customFormat="false" ht="15" hidden="false" customHeight="false" outlineLevel="0" collapsed="false">
      <c r="A865" s="19" t="s">
        <v>991</v>
      </c>
      <c r="B865" s="22" t="n">
        <v>720</v>
      </c>
      <c r="C865" s="19" t="n">
        <v>21</v>
      </c>
      <c r="D865" s="23" t="n">
        <v>1.31</v>
      </c>
      <c r="E865" s="19" t="s">
        <v>135</v>
      </c>
      <c r="F865" s="19" t="s">
        <v>136</v>
      </c>
      <c r="G865" s="19" t="s">
        <v>935</v>
      </c>
      <c r="H865" s="19"/>
      <c r="I865" s="24" t="n">
        <f aca="false">IF(AND(ISNUMBER(B865),ISNUMBER(D865)),B865*D865,0)</f>
        <v>943.2</v>
      </c>
    </row>
    <row r="866" customFormat="false" ht="15" hidden="false" customHeight="false" outlineLevel="0" collapsed="false">
      <c r="A866" s="19" t="s">
        <v>992</v>
      </c>
      <c r="B866" s="22" t="n">
        <v>720</v>
      </c>
      <c r="C866" s="19" t="n">
        <v>14</v>
      </c>
      <c r="D866" s="23" t="n">
        <v>0.66</v>
      </c>
      <c r="E866" s="19" t="s">
        <v>135</v>
      </c>
      <c r="F866" s="19" t="s">
        <v>136</v>
      </c>
      <c r="G866" s="19" t="s">
        <v>935</v>
      </c>
      <c r="H866" s="19"/>
      <c r="I866" s="24" t="n">
        <f aca="false">IF(AND(ISNUMBER(B866),ISNUMBER(D866)),B866*D866,0)</f>
        <v>475.2</v>
      </c>
    </row>
    <row r="867" customFormat="false" ht="15" hidden="false" customHeight="false" outlineLevel="0" collapsed="false">
      <c r="A867" s="19" t="s">
        <v>993</v>
      </c>
      <c r="B867" s="22" t="n">
        <v>720</v>
      </c>
      <c r="C867" s="19" t="n">
        <v>16</v>
      </c>
      <c r="D867" s="23" t="n">
        <v>0.4</v>
      </c>
      <c r="E867" s="19" t="s">
        <v>135</v>
      </c>
      <c r="F867" s="19" t="s">
        <v>136</v>
      </c>
      <c r="G867" s="19" t="s">
        <v>935</v>
      </c>
      <c r="H867" s="19"/>
      <c r="I867" s="24" t="n">
        <f aca="false">IF(AND(ISNUMBER(B867),ISNUMBER(D867)),B867*D867,0)</f>
        <v>288</v>
      </c>
    </row>
    <row r="868" customFormat="false" ht="15" hidden="false" customHeight="false" outlineLevel="0" collapsed="false">
      <c r="A868" s="19" t="s">
        <v>994</v>
      </c>
      <c r="B868" s="22" t="n">
        <v>720</v>
      </c>
      <c r="C868" s="19" t="n">
        <v>17</v>
      </c>
      <c r="D868" s="23" t="n">
        <v>0</v>
      </c>
      <c r="E868" s="19" t="s">
        <v>157</v>
      </c>
      <c r="F868" s="19" t="s">
        <v>136</v>
      </c>
      <c r="G868" s="19" t="s">
        <v>935</v>
      </c>
      <c r="H868" s="19"/>
      <c r="I868" s="24" t="n">
        <f aca="false">IF(AND(ISNUMBER(B868),ISNUMBER(D868)),B868*D868,0)</f>
        <v>0</v>
      </c>
    </row>
    <row r="869" customFormat="false" ht="15" hidden="false" customHeight="false" outlineLevel="0" collapsed="false">
      <c r="A869" s="19" t="s">
        <v>995</v>
      </c>
      <c r="B869" s="22" t="n">
        <v>720</v>
      </c>
      <c r="C869" s="19" t="n">
        <v>10</v>
      </c>
      <c r="D869" s="23" t="n">
        <v>0.4</v>
      </c>
      <c r="E869" s="19" t="s">
        <v>135</v>
      </c>
      <c r="F869" s="19" t="s">
        <v>136</v>
      </c>
      <c r="G869" s="19" t="s">
        <v>935</v>
      </c>
      <c r="H869" s="19"/>
      <c r="I869" s="24" t="n">
        <f aca="false">IF(AND(ISNUMBER(B869),ISNUMBER(D869)),B869*D869,0)</f>
        <v>288</v>
      </c>
    </row>
    <row r="870" customFormat="false" ht="15" hidden="false" customHeight="false" outlineLevel="0" collapsed="false">
      <c r="A870" s="19" t="s">
        <v>996</v>
      </c>
      <c r="B870" s="22" t="n">
        <v>720</v>
      </c>
      <c r="C870" s="19" t="n">
        <v>18</v>
      </c>
      <c r="D870" s="23" t="n">
        <v>0.75</v>
      </c>
      <c r="E870" s="19" t="s">
        <v>135</v>
      </c>
      <c r="F870" s="19" t="s">
        <v>136</v>
      </c>
      <c r="G870" s="19" t="s">
        <v>935</v>
      </c>
      <c r="H870" s="19"/>
      <c r="I870" s="24" t="n">
        <f aca="false">IF(AND(ISNUMBER(B870),ISNUMBER(D870)),B870*D870,0)</f>
        <v>540</v>
      </c>
    </row>
    <row r="871" customFormat="false" ht="15" hidden="false" customHeight="false" outlineLevel="0" collapsed="false">
      <c r="A871" s="19" t="s">
        <v>997</v>
      </c>
      <c r="B871" s="22" t="n">
        <v>590</v>
      </c>
      <c r="C871" s="19" t="n">
        <v>16</v>
      </c>
      <c r="D871" s="23" t="n">
        <v>0.41</v>
      </c>
      <c r="E871" s="19" t="s">
        <v>168</v>
      </c>
      <c r="F871" s="19" t="s">
        <v>140</v>
      </c>
      <c r="G871" s="19" t="s">
        <v>935</v>
      </c>
      <c r="H871" s="19"/>
      <c r="I871" s="24" t="n">
        <f aca="false">IF(AND(ISNUMBER(B871),ISNUMBER(D871)),B871*D871,0)</f>
        <v>241.9</v>
      </c>
    </row>
    <row r="872" customFormat="false" ht="15" hidden="false" customHeight="false" outlineLevel="0" collapsed="false">
      <c r="A872" s="19" t="s">
        <v>998</v>
      </c>
      <c r="B872" s="22" t="n">
        <v>590</v>
      </c>
      <c r="C872" s="19" t="n">
        <v>20</v>
      </c>
      <c r="D872" s="23" t="n">
        <v>0.63</v>
      </c>
      <c r="E872" s="19" t="s">
        <v>135</v>
      </c>
      <c r="F872" s="19" t="s">
        <v>140</v>
      </c>
      <c r="G872" s="19" t="s">
        <v>935</v>
      </c>
      <c r="H872" s="19"/>
      <c r="I872" s="24" t="n">
        <f aca="false">IF(AND(ISNUMBER(B872),ISNUMBER(D872)),B872*D872,0)</f>
        <v>371.7</v>
      </c>
    </row>
    <row r="873" customFormat="false" ht="15" hidden="false" customHeight="false" outlineLevel="0" collapsed="false">
      <c r="A873" s="19" t="s">
        <v>999</v>
      </c>
      <c r="B873" s="22" t="n">
        <v>590</v>
      </c>
      <c r="C873" s="19" t="n">
        <v>13</v>
      </c>
      <c r="D873" s="23" t="n">
        <v>0.41</v>
      </c>
      <c r="E873" s="19" t="s">
        <v>135</v>
      </c>
      <c r="F873" s="19" t="s">
        <v>140</v>
      </c>
      <c r="G873" s="19" t="s">
        <v>935</v>
      </c>
      <c r="H873" s="19"/>
      <c r="I873" s="24" t="n">
        <f aca="false">IF(AND(ISNUMBER(B873),ISNUMBER(D873)),B873*D873,0)</f>
        <v>241.9</v>
      </c>
    </row>
    <row r="874" customFormat="false" ht="15" hidden="false" customHeight="false" outlineLevel="0" collapsed="false">
      <c r="A874" s="19" t="s">
        <v>1000</v>
      </c>
      <c r="B874" s="22" t="n">
        <v>590</v>
      </c>
      <c r="C874" s="19" t="n">
        <v>23</v>
      </c>
      <c r="D874" s="23" t="n">
        <v>0.41</v>
      </c>
      <c r="E874" s="19" t="s">
        <v>135</v>
      </c>
      <c r="F874" s="19" t="s">
        <v>140</v>
      </c>
      <c r="G874" s="19" t="s">
        <v>935</v>
      </c>
      <c r="H874" s="19"/>
      <c r="I874" s="24" t="n">
        <f aca="false">IF(AND(ISNUMBER(B874),ISNUMBER(D874)),B874*D874,0)</f>
        <v>241.9</v>
      </c>
    </row>
    <row r="875" customFormat="false" ht="15" hidden="false" customHeight="false" outlineLevel="0" collapsed="false">
      <c r="A875" s="19" t="s">
        <v>1001</v>
      </c>
      <c r="B875" s="22" t="n">
        <v>590</v>
      </c>
      <c r="C875" s="19" t="n">
        <v>17</v>
      </c>
      <c r="D875" s="23" t="n">
        <v>0.45</v>
      </c>
      <c r="E875" s="19" t="s">
        <v>168</v>
      </c>
      <c r="F875" s="19" t="s">
        <v>161</v>
      </c>
      <c r="G875" s="19" t="s">
        <v>935</v>
      </c>
      <c r="H875" s="19"/>
      <c r="I875" s="24" t="n">
        <f aca="false">IF(AND(ISNUMBER(B875),ISNUMBER(D875)),B875*D875,0)</f>
        <v>265.5</v>
      </c>
    </row>
    <row r="876" customFormat="false" ht="15" hidden="false" customHeight="false" outlineLevel="0" collapsed="false">
      <c r="A876" s="19" t="s">
        <v>1002</v>
      </c>
      <c r="B876" s="22" t="n">
        <v>590</v>
      </c>
      <c r="C876" s="19" t="n">
        <v>15</v>
      </c>
      <c r="D876" s="23" t="n">
        <v>0.56</v>
      </c>
      <c r="E876" s="19" t="s">
        <v>135</v>
      </c>
      <c r="F876" s="19" t="s">
        <v>161</v>
      </c>
      <c r="G876" s="19" t="s">
        <v>935</v>
      </c>
      <c r="H876" s="19"/>
      <c r="I876" s="24" t="n">
        <f aca="false">IF(AND(ISNUMBER(B876),ISNUMBER(D876)),B876*D876,0)</f>
        <v>330.4</v>
      </c>
    </row>
    <row r="877" customFormat="false" ht="15" hidden="false" customHeight="false" outlineLevel="0" collapsed="false">
      <c r="A877" s="19" t="s">
        <v>1003</v>
      </c>
      <c r="B877" s="22" t="n">
        <v>590</v>
      </c>
      <c r="C877" s="19" t="n">
        <v>15</v>
      </c>
      <c r="D877" s="23" t="n">
        <v>0.56</v>
      </c>
      <c r="E877" s="19" t="s">
        <v>135</v>
      </c>
      <c r="F877" s="19" t="s">
        <v>161</v>
      </c>
      <c r="G877" s="19" t="s">
        <v>935</v>
      </c>
      <c r="H877" s="19"/>
      <c r="I877" s="24" t="n">
        <f aca="false">IF(AND(ISNUMBER(B877),ISNUMBER(D877)),B877*D877,0)</f>
        <v>330.4</v>
      </c>
    </row>
    <row r="878" customFormat="false" ht="15" hidden="false" customHeight="false" outlineLevel="0" collapsed="false">
      <c r="A878" s="19" t="s">
        <v>1004</v>
      </c>
      <c r="B878" s="22" t="n">
        <v>590</v>
      </c>
      <c r="C878" s="19" t="n">
        <v>21</v>
      </c>
      <c r="D878" s="23" t="n">
        <v>0.38</v>
      </c>
      <c r="E878" s="19" t="s">
        <v>135</v>
      </c>
      <c r="F878" s="19" t="s">
        <v>161</v>
      </c>
      <c r="G878" s="19" t="s">
        <v>935</v>
      </c>
      <c r="H878" s="19"/>
      <c r="I878" s="24" t="n">
        <f aca="false">IF(AND(ISNUMBER(B878),ISNUMBER(D878)),B878*D878,0)</f>
        <v>224.2</v>
      </c>
    </row>
    <row r="879" customFormat="false" ht="15" hidden="false" customHeight="false" outlineLevel="0" collapsed="false">
      <c r="A879" s="19" t="s">
        <v>1005</v>
      </c>
      <c r="B879" s="22" t="n">
        <v>590</v>
      </c>
      <c r="C879" s="19" t="n">
        <v>11</v>
      </c>
      <c r="D879" s="23" t="n">
        <v>1.07</v>
      </c>
      <c r="E879" s="19" t="s">
        <v>135</v>
      </c>
      <c r="F879" s="19" t="s">
        <v>161</v>
      </c>
      <c r="G879" s="19" t="s">
        <v>935</v>
      </c>
      <c r="H879" s="19"/>
      <c r="I879" s="24" t="n">
        <f aca="false">IF(AND(ISNUMBER(B879),ISNUMBER(D879)),B879*D879,0)</f>
        <v>631.3</v>
      </c>
    </row>
    <row r="880" customFormat="false" ht="15" hidden="false" customHeight="false" outlineLevel="0" collapsed="false">
      <c r="A880" s="19" t="s">
        <v>1006</v>
      </c>
      <c r="B880" s="22" t="n">
        <v>590</v>
      </c>
      <c r="C880" s="19" t="n">
        <v>29</v>
      </c>
      <c r="D880" s="23" t="n">
        <v>1.03</v>
      </c>
      <c r="E880" s="19" t="s">
        <v>135</v>
      </c>
      <c r="F880" s="19" t="s">
        <v>161</v>
      </c>
      <c r="G880" s="19" t="s">
        <v>935</v>
      </c>
      <c r="H880" s="19"/>
      <c r="I880" s="24" t="n">
        <f aca="false">IF(AND(ISNUMBER(B880),ISNUMBER(D880)),B880*D880,0)</f>
        <v>607.7</v>
      </c>
    </row>
    <row r="881" customFormat="false" ht="15" hidden="false" customHeight="false" outlineLevel="0" collapsed="false">
      <c r="A881" s="19" t="s">
        <v>1007</v>
      </c>
      <c r="B881" s="22" t="n">
        <v>590</v>
      </c>
      <c r="C881" s="19" t="n">
        <v>23</v>
      </c>
      <c r="D881" s="23" t="n">
        <v>0.49</v>
      </c>
      <c r="E881" s="19" t="s">
        <v>175</v>
      </c>
      <c r="F881" s="19" t="s">
        <v>161</v>
      </c>
      <c r="G881" s="19" t="s">
        <v>935</v>
      </c>
      <c r="H881" s="19"/>
      <c r="I881" s="24" t="n">
        <f aca="false">IF(AND(ISNUMBER(B881),ISNUMBER(D881)),B881*D881,0)</f>
        <v>289.1</v>
      </c>
    </row>
    <row r="882" customFormat="false" ht="15" hidden="false" customHeight="false" outlineLevel="0" collapsed="false">
      <c r="A882" s="19" t="s">
        <v>1008</v>
      </c>
      <c r="B882" s="22" t="n">
        <v>590</v>
      </c>
      <c r="C882" s="19" t="n">
        <v>19</v>
      </c>
      <c r="D882" s="23" t="n">
        <v>1.66</v>
      </c>
      <c r="E882" s="19" t="s">
        <v>135</v>
      </c>
      <c r="F882" s="19" t="s">
        <v>161</v>
      </c>
      <c r="G882" s="19" t="s">
        <v>935</v>
      </c>
      <c r="H882" s="19"/>
      <c r="I882" s="24" t="n">
        <f aca="false">IF(AND(ISNUMBER(B882),ISNUMBER(D882)),B882*D882,0)</f>
        <v>979.4</v>
      </c>
    </row>
    <row r="883" customFormat="false" ht="15" hidden="false" customHeight="false" outlineLevel="0" collapsed="false">
      <c r="A883" s="19" t="s">
        <v>1009</v>
      </c>
      <c r="B883" s="22" t="n">
        <v>590</v>
      </c>
      <c r="C883" s="19" t="n">
        <v>25</v>
      </c>
      <c r="D883" s="23" t="n">
        <v>0.39</v>
      </c>
      <c r="E883" s="19" t="s">
        <v>135</v>
      </c>
      <c r="F883" s="19" t="s">
        <v>140</v>
      </c>
      <c r="G883" s="19" t="s">
        <v>935</v>
      </c>
      <c r="H883" s="19"/>
      <c r="I883" s="24" t="n">
        <f aca="false">IF(AND(ISNUMBER(B883),ISNUMBER(D883)),B883*D883,0)</f>
        <v>230.1</v>
      </c>
    </row>
    <row r="884" customFormat="false" ht="15" hidden="false" customHeight="false" outlineLevel="0" collapsed="false">
      <c r="A884" s="19" t="s">
        <v>1010</v>
      </c>
      <c r="B884" s="22" t="n">
        <v>590</v>
      </c>
      <c r="C884" s="19" t="n">
        <v>22</v>
      </c>
      <c r="D884" s="23" t="n">
        <v>0.26</v>
      </c>
      <c r="E884" s="19" t="s">
        <v>135</v>
      </c>
      <c r="F884" s="19" t="s">
        <v>136</v>
      </c>
      <c r="G884" s="19" t="s">
        <v>935</v>
      </c>
      <c r="H884" s="19"/>
      <c r="I884" s="24" t="n">
        <f aca="false">IF(AND(ISNUMBER(B884),ISNUMBER(D884)),B884*D884,0)</f>
        <v>153.4</v>
      </c>
    </row>
    <row r="885" customFormat="false" ht="15" hidden="false" customHeight="false" outlineLevel="0" collapsed="false">
      <c r="A885" s="19" t="s">
        <v>1011</v>
      </c>
      <c r="B885" s="22" t="n">
        <v>590</v>
      </c>
      <c r="C885" s="19" t="n">
        <v>16</v>
      </c>
      <c r="D885" s="23" t="n">
        <v>1.32</v>
      </c>
      <c r="E885" s="19" t="s">
        <v>135</v>
      </c>
      <c r="F885" s="19" t="s">
        <v>136</v>
      </c>
      <c r="G885" s="19" t="s">
        <v>935</v>
      </c>
      <c r="H885" s="19"/>
      <c r="I885" s="24" t="n">
        <f aca="false">IF(AND(ISNUMBER(B885),ISNUMBER(D885)),B885*D885,0)</f>
        <v>778.8</v>
      </c>
    </row>
    <row r="886" customFormat="false" ht="15" hidden="false" customHeight="false" outlineLevel="0" collapsed="false">
      <c r="A886" s="19" t="s">
        <v>1012</v>
      </c>
      <c r="B886" s="22" t="n">
        <v>590</v>
      </c>
      <c r="C886" s="19" t="n">
        <v>18</v>
      </c>
      <c r="D886" s="23" t="n">
        <v>0.8</v>
      </c>
      <c r="E886" s="19" t="s">
        <v>135</v>
      </c>
      <c r="F886" s="19" t="s">
        <v>136</v>
      </c>
      <c r="G886" s="19" t="s">
        <v>935</v>
      </c>
      <c r="H886" s="19"/>
      <c r="I886" s="24" t="n">
        <f aca="false">IF(AND(ISNUMBER(B886),ISNUMBER(D886)),B886*D886,0)</f>
        <v>472</v>
      </c>
    </row>
    <row r="887" customFormat="false" ht="15" hidden="false" customHeight="false" outlineLevel="0" collapsed="false">
      <c r="A887" s="19" t="s">
        <v>1013</v>
      </c>
      <c r="B887" s="22" t="n">
        <v>590</v>
      </c>
      <c r="C887" s="19" t="n">
        <v>19</v>
      </c>
      <c r="D887" s="23" t="n">
        <v>0.32</v>
      </c>
      <c r="E887" s="19" t="s">
        <v>135</v>
      </c>
      <c r="F887" s="19" t="s">
        <v>136</v>
      </c>
      <c r="G887" s="19" t="s">
        <v>935</v>
      </c>
      <c r="H887" s="19"/>
      <c r="I887" s="24" t="n">
        <f aca="false">IF(AND(ISNUMBER(B887),ISNUMBER(D887)),B887*D887,0)</f>
        <v>188.8</v>
      </c>
    </row>
    <row r="888" customFormat="false" ht="15" hidden="false" customHeight="false" outlineLevel="0" collapsed="false">
      <c r="A888" s="19" t="s">
        <v>1014</v>
      </c>
      <c r="B888" s="22" t="n">
        <v>480</v>
      </c>
      <c r="C888" s="19" t="n">
        <v>14</v>
      </c>
      <c r="D888" s="23" t="n">
        <v>0.79</v>
      </c>
      <c r="E888" s="19" t="s">
        <v>168</v>
      </c>
      <c r="F888" s="19" t="s">
        <v>140</v>
      </c>
      <c r="G888" s="19" t="s">
        <v>935</v>
      </c>
      <c r="H888" s="19"/>
      <c r="I888" s="24" t="n">
        <f aca="false">IF(AND(ISNUMBER(B888),ISNUMBER(D888)),B888*D888,0)</f>
        <v>379.2</v>
      </c>
    </row>
    <row r="889" customFormat="false" ht="15" hidden="false" customHeight="false" outlineLevel="0" collapsed="false">
      <c r="A889" s="19" t="s">
        <v>1015</v>
      </c>
      <c r="B889" s="22" t="n">
        <v>480</v>
      </c>
      <c r="C889" s="19" t="n">
        <v>22</v>
      </c>
      <c r="D889" s="23" t="n">
        <v>0.68</v>
      </c>
      <c r="E889" s="19" t="s">
        <v>135</v>
      </c>
      <c r="F889" s="19" t="s">
        <v>140</v>
      </c>
      <c r="G889" s="19" t="s">
        <v>935</v>
      </c>
      <c r="H889" s="19"/>
      <c r="I889" s="24" t="n">
        <f aca="false">IF(AND(ISNUMBER(B889),ISNUMBER(D889)),B889*D889,0)</f>
        <v>326.4</v>
      </c>
    </row>
    <row r="890" customFormat="false" ht="15" hidden="false" customHeight="false" outlineLevel="0" collapsed="false">
      <c r="A890" s="19" t="s">
        <v>1016</v>
      </c>
      <c r="B890" s="22" t="n">
        <v>480</v>
      </c>
      <c r="C890" s="19" t="n">
        <v>15</v>
      </c>
      <c r="D890" s="23" t="n">
        <v>0</v>
      </c>
      <c r="E890" s="19"/>
      <c r="F890" s="19" t="s">
        <v>140</v>
      </c>
      <c r="G890" s="19" t="s">
        <v>935</v>
      </c>
      <c r="H890" s="19"/>
      <c r="I890" s="24" t="n">
        <f aca="false">IF(AND(ISNUMBER(B890),ISNUMBER(D890)),B890*D890,0)</f>
        <v>0</v>
      </c>
    </row>
    <row r="891" customFormat="false" ht="15" hidden="false" customHeight="false" outlineLevel="0" collapsed="false">
      <c r="A891" s="19" t="s">
        <v>1017</v>
      </c>
      <c r="B891" s="22" t="n">
        <v>480</v>
      </c>
      <c r="C891" s="19" t="n">
        <v>23</v>
      </c>
      <c r="D891" s="23" t="n">
        <v>1.04</v>
      </c>
      <c r="E891" s="19" t="s">
        <v>135</v>
      </c>
      <c r="F891" s="19" t="s">
        <v>140</v>
      </c>
      <c r="G891" s="19" t="s">
        <v>935</v>
      </c>
      <c r="H891" s="19"/>
      <c r="I891" s="24" t="n">
        <f aca="false">IF(AND(ISNUMBER(B891),ISNUMBER(D891)),B891*D891,0)</f>
        <v>499.2</v>
      </c>
    </row>
    <row r="892" customFormat="false" ht="15" hidden="false" customHeight="false" outlineLevel="0" collapsed="false">
      <c r="A892" s="19" t="s">
        <v>1018</v>
      </c>
      <c r="B892" s="22" t="n">
        <v>480</v>
      </c>
      <c r="C892" s="19" t="n">
        <v>20</v>
      </c>
      <c r="D892" s="23" t="n">
        <v>0.6</v>
      </c>
      <c r="E892" s="19" t="s">
        <v>135</v>
      </c>
      <c r="F892" s="19" t="s">
        <v>140</v>
      </c>
      <c r="G892" s="19" t="s">
        <v>935</v>
      </c>
      <c r="H892" s="19"/>
      <c r="I892" s="24" t="n">
        <f aca="false">IF(AND(ISNUMBER(B892),ISNUMBER(D892)),B892*D892,0)</f>
        <v>288</v>
      </c>
    </row>
    <row r="893" customFormat="false" ht="15" hidden="false" customHeight="false" outlineLevel="0" collapsed="false">
      <c r="A893" s="19" t="s">
        <v>1019</v>
      </c>
      <c r="B893" s="22" t="n">
        <v>480</v>
      </c>
      <c r="C893" s="19" t="n">
        <v>29</v>
      </c>
      <c r="D893" s="23" t="n">
        <v>0.55</v>
      </c>
      <c r="E893" s="19" t="s">
        <v>168</v>
      </c>
      <c r="F893" s="19" t="s">
        <v>161</v>
      </c>
      <c r="G893" s="19" t="s">
        <v>935</v>
      </c>
      <c r="H893" s="19"/>
      <c r="I893" s="24" t="n">
        <f aca="false">IF(AND(ISNUMBER(B893),ISNUMBER(D893)),B893*D893,0)</f>
        <v>264</v>
      </c>
    </row>
    <row r="894" customFormat="false" ht="15" hidden="false" customHeight="false" outlineLevel="0" collapsed="false">
      <c r="A894" s="19" t="s">
        <v>1020</v>
      </c>
      <c r="B894" s="22" t="n">
        <v>480</v>
      </c>
      <c r="C894" s="19" t="n">
        <v>20</v>
      </c>
      <c r="D894" s="23" t="n">
        <v>0.46</v>
      </c>
      <c r="E894" s="19" t="s">
        <v>135</v>
      </c>
      <c r="F894" s="19" t="s">
        <v>161</v>
      </c>
      <c r="G894" s="19" t="s">
        <v>935</v>
      </c>
      <c r="H894" s="19"/>
      <c r="I894" s="24" t="n">
        <f aca="false">IF(AND(ISNUMBER(B894),ISNUMBER(D894)),B894*D894,0)</f>
        <v>220.8</v>
      </c>
    </row>
    <row r="895" customFormat="false" ht="15" hidden="false" customHeight="false" outlineLevel="0" collapsed="false">
      <c r="A895" s="19" t="s">
        <v>1021</v>
      </c>
      <c r="B895" s="22" t="n">
        <v>480</v>
      </c>
      <c r="C895" s="19" t="n">
        <v>16</v>
      </c>
      <c r="D895" s="23" t="n">
        <v>0</v>
      </c>
      <c r="E895" s="19" t="s">
        <v>135</v>
      </c>
      <c r="F895" s="19" t="s">
        <v>161</v>
      </c>
      <c r="G895" s="19" t="s">
        <v>935</v>
      </c>
      <c r="H895" s="19"/>
      <c r="I895" s="24" t="n">
        <f aca="false">IF(AND(ISNUMBER(B895),ISNUMBER(D895)),B895*D895,0)</f>
        <v>0</v>
      </c>
    </row>
    <row r="896" customFormat="false" ht="15" hidden="false" customHeight="false" outlineLevel="0" collapsed="false">
      <c r="A896" s="19" t="s">
        <v>1022</v>
      </c>
      <c r="B896" s="22" t="n">
        <v>480</v>
      </c>
      <c r="C896" s="19" t="n">
        <v>17</v>
      </c>
      <c r="D896" s="23" t="n">
        <v>0.38</v>
      </c>
      <c r="E896" s="19" t="s">
        <v>135</v>
      </c>
      <c r="F896" s="19" t="s">
        <v>161</v>
      </c>
      <c r="G896" s="19" t="s">
        <v>935</v>
      </c>
      <c r="H896" s="19"/>
      <c r="I896" s="24" t="n">
        <f aca="false">IF(AND(ISNUMBER(B896),ISNUMBER(D896)),B896*D896,0)</f>
        <v>182.4</v>
      </c>
    </row>
    <row r="897" customFormat="false" ht="15" hidden="false" customHeight="false" outlineLevel="0" collapsed="false">
      <c r="A897" s="19" t="s">
        <v>1023</v>
      </c>
      <c r="B897" s="22" t="n">
        <v>480</v>
      </c>
      <c r="C897" s="19" t="n">
        <v>22</v>
      </c>
      <c r="D897" s="23" t="n">
        <v>0.37</v>
      </c>
      <c r="E897" s="19" t="s">
        <v>135</v>
      </c>
      <c r="F897" s="19" t="s">
        <v>161</v>
      </c>
      <c r="G897" s="19" t="s">
        <v>935</v>
      </c>
      <c r="H897" s="19"/>
      <c r="I897" s="24" t="n">
        <f aca="false">IF(AND(ISNUMBER(B897),ISNUMBER(D897)),B897*D897,0)</f>
        <v>177.6</v>
      </c>
    </row>
    <row r="898" customFormat="false" ht="15" hidden="false" customHeight="false" outlineLevel="0" collapsed="false">
      <c r="A898" s="19" t="s">
        <v>1024</v>
      </c>
      <c r="B898" s="22" t="n">
        <v>480</v>
      </c>
      <c r="C898" s="19" t="n">
        <v>14</v>
      </c>
      <c r="D898" s="23" t="n">
        <v>0</v>
      </c>
      <c r="E898" s="19" t="s">
        <v>135</v>
      </c>
      <c r="F898" s="19" t="s">
        <v>161</v>
      </c>
      <c r="G898" s="19" t="s">
        <v>935</v>
      </c>
      <c r="H898" s="19"/>
      <c r="I898" s="24" t="n">
        <f aca="false">IF(AND(ISNUMBER(B898),ISNUMBER(D898)),B898*D898,0)</f>
        <v>0</v>
      </c>
    </row>
    <row r="899" customFormat="false" ht="15" hidden="false" customHeight="false" outlineLevel="0" collapsed="false">
      <c r="A899" s="19" t="s">
        <v>1025</v>
      </c>
      <c r="B899" s="22" t="n">
        <v>480</v>
      </c>
      <c r="C899" s="19" t="n">
        <v>23</v>
      </c>
      <c r="D899" s="23" t="n">
        <v>0</v>
      </c>
      <c r="E899" s="19" t="s">
        <v>135</v>
      </c>
      <c r="F899" s="19" t="s">
        <v>161</v>
      </c>
      <c r="G899" s="19" t="s">
        <v>935</v>
      </c>
      <c r="H899" s="19"/>
      <c r="I899" s="24" t="n">
        <f aca="false">IF(AND(ISNUMBER(B899),ISNUMBER(D899)),B899*D899,0)</f>
        <v>0</v>
      </c>
    </row>
    <row r="900" customFormat="false" ht="15" hidden="false" customHeight="false" outlineLevel="0" collapsed="false">
      <c r="A900" s="19" t="s">
        <v>1026</v>
      </c>
      <c r="B900" s="22" t="n">
        <v>480</v>
      </c>
      <c r="C900" s="19" t="n">
        <v>24</v>
      </c>
      <c r="D900" s="23" t="n">
        <v>0</v>
      </c>
      <c r="E900" s="19" t="s">
        <v>135</v>
      </c>
      <c r="F900" s="19" t="s">
        <v>161</v>
      </c>
      <c r="G900" s="19" t="s">
        <v>935</v>
      </c>
      <c r="H900" s="19"/>
      <c r="I900" s="24" t="n">
        <f aca="false">IF(AND(ISNUMBER(B900),ISNUMBER(D900)),B900*D900,0)</f>
        <v>0</v>
      </c>
    </row>
    <row r="901" customFormat="false" ht="15" hidden="false" customHeight="false" outlineLevel="0" collapsed="false">
      <c r="A901" s="19" t="s">
        <v>1027</v>
      </c>
      <c r="B901" s="22" t="n">
        <v>480</v>
      </c>
      <c r="C901" s="19" t="n">
        <v>14</v>
      </c>
      <c r="D901" s="23" t="n">
        <v>0.45</v>
      </c>
      <c r="E901" s="19" t="s">
        <v>135</v>
      </c>
      <c r="F901" s="19" t="s">
        <v>161</v>
      </c>
      <c r="G901" s="19" t="s">
        <v>935</v>
      </c>
      <c r="H901" s="19"/>
      <c r="I901" s="24" t="n">
        <f aca="false">IF(AND(ISNUMBER(B901),ISNUMBER(D901)),B901*D901,0)</f>
        <v>216</v>
      </c>
    </row>
    <row r="902" customFormat="false" ht="15" hidden="false" customHeight="false" outlineLevel="0" collapsed="false">
      <c r="A902" s="19" t="s">
        <v>1028</v>
      </c>
      <c r="B902" s="22" t="n">
        <v>480</v>
      </c>
      <c r="C902" s="19" t="n">
        <v>13</v>
      </c>
      <c r="D902" s="23" t="n">
        <v>0</v>
      </c>
      <c r="E902" s="19" t="s">
        <v>135</v>
      </c>
      <c r="F902" s="19" t="s">
        <v>161</v>
      </c>
      <c r="G902" s="19" t="s">
        <v>935</v>
      </c>
      <c r="H902" s="19"/>
      <c r="I902" s="24" t="n">
        <f aca="false">IF(AND(ISNUMBER(B902),ISNUMBER(D902)),B902*D902,0)</f>
        <v>0</v>
      </c>
    </row>
    <row r="903" customFormat="false" ht="15" hidden="false" customHeight="false" outlineLevel="0" collapsed="false">
      <c r="A903" s="19" t="s">
        <v>1029</v>
      </c>
      <c r="B903" s="22" t="n">
        <v>480</v>
      </c>
      <c r="C903" s="19" t="n">
        <v>19</v>
      </c>
      <c r="D903" s="23" t="n">
        <v>0</v>
      </c>
      <c r="E903" s="19" t="s">
        <v>135</v>
      </c>
      <c r="F903" s="19" t="s">
        <v>161</v>
      </c>
      <c r="G903" s="19" t="s">
        <v>935</v>
      </c>
      <c r="H903" s="19"/>
      <c r="I903" s="24" t="n">
        <f aca="false">IF(AND(ISNUMBER(B903),ISNUMBER(D903)),B903*D903,0)</f>
        <v>0</v>
      </c>
    </row>
    <row r="904" customFormat="false" ht="15" hidden="false" customHeight="false" outlineLevel="0" collapsed="false">
      <c r="A904" s="19" t="s">
        <v>1030</v>
      </c>
      <c r="B904" s="22" t="n">
        <v>480</v>
      </c>
      <c r="C904" s="19" t="n">
        <v>22</v>
      </c>
      <c r="D904" s="23" t="n">
        <v>1.81</v>
      </c>
      <c r="E904" s="19" t="s">
        <v>135</v>
      </c>
      <c r="F904" s="19" t="s">
        <v>140</v>
      </c>
      <c r="G904" s="19" t="s">
        <v>935</v>
      </c>
      <c r="H904" s="19"/>
      <c r="I904" s="24" t="n">
        <f aca="false">IF(AND(ISNUMBER(B904),ISNUMBER(D904)),B904*D904,0)</f>
        <v>868.8</v>
      </c>
    </row>
    <row r="905" customFormat="false" ht="15" hidden="false" customHeight="false" outlineLevel="0" collapsed="false">
      <c r="A905" s="19" t="s">
        <v>1031</v>
      </c>
      <c r="B905" s="22" t="n">
        <v>480</v>
      </c>
      <c r="C905" s="19" t="n">
        <v>10</v>
      </c>
      <c r="D905" s="23" t="n">
        <v>1.92</v>
      </c>
      <c r="E905" s="19" t="s">
        <v>135</v>
      </c>
      <c r="F905" s="19" t="s">
        <v>136</v>
      </c>
      <c r="G905" s="19" t="s">
        <v>935</v>
      </c>
      <c r="H905" s="19"/>
      <c r="I905" s="24" t="n">
        <f aca="false">IF(AND(ISNUMBER(B905),ISNUMBER(D905)),B905*D905,0)</f>
        <v>921.6</v>
      </c>
    </row>
    <row r="906" customFormat="false" ht="15" hidden="false" customHeight="false" outlineLevel="0" collapsed="false">
      <c r="A906" s="19" t="s">
        <v>1032</v>
      </c>
      <c r="B906" s="22" t="n">
        <v>480</v>
      </c>
      <c r="C906" s="19" t="n">
        <v>21</v>
      </c>
      <c r="D906" s="23" t="n">
        <v>0.57</v>
      </c>
      <c r="E906" s="19" t="s">
        <v>135</v>
      </c>
      <c r="F906" s="19" t="s">
        <v>136</v>
      </c>
      <c r="G906" s="19" t="s">
        <v>935</v>
      </c>
      <c r="H906" s="19"/>
      <c r="I906" s="24" t="n">
        <f aca="false">IF(AND(ISNUMBER(B906),ISNUMBER(D906)),B906*D906,0)</f>
        <v>273.6</v>
      </c>
    </row>
    <row r="907" customFormat="false" ht="15" hidden="false" customHeight="false" outlineLevel="0" collapsed="false">
      <c r="A907" s="19" t="s">
        <v>1033</v>
      </c>
      <c r="B907" s="22" t="n">
        <v>480</v>
      </c>
      <c r="C907" s="19" t="n">
        <v>25</v>
      </c>
      <c r="D907" s="23" t="n">
        <v>0.53</v>
      </c>
      <c r="E907" s="19" t="s">
        <v>175</v>
      </c>
      <c r="F907" s="19" t="s">
        <v>136</v>
      </c>
      <c r="G907" s="19" t="s">
        <v>935</v>
      </c>
      <c r="H907" s="19"/>
      <c r="I907" s="24" t="n">
        <f aca="false">IF(AND(ISNUMBER(B907),ISNUMBER(D907)),B907*D907,0)</f>
        <v>254.4</v>
      </c>
    </row>
    <row r="908" customFormat="false" ht="15" hidden="false" customHeight="false" outlineLevel="0" collapsed="false">
      <c r="A908" s="19" t="s">
        <v>1034</v>
      </c>
      <c r="B908" s="22" t="n">
        <v>480</v>
      </c>
      <c r="C908" s="19" t="n">
        <v>22</v>
      </c>
      <c r="D908" s="23" t="n">
        <v>0.55</v>
      </c>
      <c r="E908" s="19" t="s">
        <v>135</v>
      </c>
      <c r="F908" s="19" t="s">
        <v>136</v>
      </c>
      <c r="G908" s="19" t="s">
        <v>935</v>
      </c>
      <c r="H908" s="19"/>
      <c r="I908" s="24" t="n">
        <f aca="false">IF(AND(ISNUMBER(B908),ISNUMBER(D908)),B908*D908,0)</f>
        <v>264</v>
      </c>
    </row>
    <row r="909" customFormat="false" ht="15" hidden="false" customHeight="false" outlineLevel="0" collapsed="false">
      <c r="A909" s="19" t="s">
        <v>1035</v>
      </c>
      <c r="B909" s="22" t="n">
        <v>480</v>
      </c>
      <c r="C909" s="19" t="n">
        <v>9</v>
      </c>
      <c r="D909" s="23" t="n">
        <v>0</v>
      </c>
      <c r="E909" s="19" t="s">
        <v>135</v>
      </c>
      <c r="F909" s="19" t="s">
        <v>136</v>
      </c>
      <c r="G909" s="19" t="s">
        <v>935</v>
      </c>
      <c r="H909" s="19"/>
      <c r="I909" s="24" t="n">
        <f aca="false">IF(AND(ISNUMBER(B909),ISNUMBER(D909)),B909*D909,0)</f>
        <v>0</v>
      </c>
    </row>
    <row r="910" customFormat="false" ht="15" hidden="false" customHeight="false" outlineLevel="0" collapsed="false">
      <c r="A910" s="19" t="s">
        <v>1036</v>
      </c>
      <c r="B910" s="22" t="n">
        <v>480</v>
      </c>
      <c r="C910" s="19" t="n">
        <v>17</v>
      </c>
      <c r="D910" s="23" t="n">
        <v>0.43</v>
      </c>
      <c r="E910" s="19" t="s">
        <v>135</v>
      </c>
      <c r="F910" s="19" t="s">
        <v>136</v>
      </c>
      <c r="G910" s="19" t="s">
        <v>935</v>
      </c>
      <c r="H910" s="19"/>
      <c r="I910" s="24" t="n">
        <f aca="false">IF(AND(ISNUMBER(B910),ISNUMBER(D910)),B910*D910,0)</f>
        <v>206.4</v>
      </c>
    </row>
    <row r="911" customFormat="false" ht="15" hidden="false" customHeight="false" outlineLevel="0" collapsed="false">
      <c r="A911" s="19" t="s">
        <v>1037</v>
      </c>
      <c r="B911" s="22" t="n">
        <v>480</v>
      </c>
      <c r="C911" s="19" t="n">
        <v>13</v>
      </c>
      <c r="D911" s="23" t="n">
        <v>0</v>
      </c>
      <c r="E911" s="19" t="s">
        <v>135</v>
      </c>
      <c r="F911" s="19" t="s">
        <v>136</v>
      </c>
      <c r="G911" s="19" t="s">
        <v>935</v>
      </c>
      <c r="H911" s="19"/>
      <c r="I911" s="24" t="n">
        <f aca="false">IF(AND(ISNUMBER(B911),ISNUMBER(D911)),B911*D911,0)</f>
        <v>0</v>
      </c>
    </row>
    <row r="912" customFormat="false" ht="15" hidden="false" customHeight="false" outlineLevel="0" collapsed="false">
      <c r="A912" s="19" t="s">
        <v>1038</v>
      </c>
      <c r="B912" s="22" t="n">
        <v>390</v>
      </c>
      <c r="C912" s="19" t="n">
        <v>23</v>
      </c>
      <c r="D912" s="23" t="n">
        <v>0.87</v>
      </c>
      <c r="E912" s="19" t="s">
        <v>168</v>
      </c>
      <c r="F912" s="19" t="s">
        <v>140</v>
      </c>
      <c r="G912" s="19" t="s">
        <v>935</v>
      </c>
      <c r="H912" s="19"/>
      <c r="I912" s="24" t="n">
        <f aca="false">IF(AND(ISNUMBER(B912),ISNUMBER(D912)),B912*D912,0)</f>
        <v>339.3</v>
      </c>
    </row>
    <row r="913" customFormat="false" ht="15" hidden="false" customHeight="false" outlineLevel="0" collapsed="false">
      <c r="A913" s="19" t="s">
        <v>1039</v>
      </c>
      <c r="B913" s="22" t="n">
        <v>390</v>
      </c>
      <c r="C913" s="19" t="n">
        <v>22</v>
      </c>
      <c r="D913" s="23" t="n">
        <v>0.59</v>
      </c>
      <c r="E913" s="19" t="s">
        <v>168</v>
      </c>
      <c r="F913" s="19" t="s">
        <v>140</v>
      </c>
      <c r="G913" s="19" t="s">
        <v>935</v>
      </c>
      <c r="H913" s="19"/>
      <c r="I913" s="24" t="n">
        <f aca="false">IF(AND(ISNUMBER(B913),ISNUMBER(D913)),B913*D913,0)</f>
        <v>230.1</v>
      </c>
    </row>
    <row r="914" customFormat="false" ht="15" hidden="false" customHeight="false" outlineLevel="0" collapsed="false">
      <c r="A914" s="19" t="s">
        <v>1040</v>
      </c>
      <c r="B914" s="22" t="n">
        <v>390</v>
      </c>
      <c r="C914" s="19" t="n">
        <v>23</v>
      </c>
      <c r="D914" s="23" t="n">
        <v>0.84</v>
      </c>
      <c r="E914" s="19" t="s">
        <v>168</v>
      </c>
      <c r="F914" s="19" t="s">
        <v>140</v>
      </c>
      <c r="G914" s="19" t="s">
        <v>935</v>
      </c>
      <c r="H914" s="19"/>
      <c r="I914" s="24" t="n">
        <f aca="false">IF(AND(ISNUMBER(B914),ISNUMBER(D914)),B914*D914,0)</f>
        <v>327.6</v>
      </c>
    </row>
    <row r="915" customFormat="false" ht="15" hidden="false" customHeight="false" outlineLevel="0" collapsed="false">
      <c r="A915" s="19" t="s">
        <v>1041</v>
      </c>
      <c r="B915" s="22" t="n">
        <v>390</v>
      </c>
      <c r="C915" s="19" t="n">
        <v>23</v>
      </c>
      <c r="D915" s="23" t="n">
        <v>0.96</v>
      </c>
      <c r="E915" s="19" t="s">
        <v>168</v>
      </c>
      <c r="F915" s="19" t="s">
        <v>140</v>
      </c>
      <c r="G915" s="19" t="s">
        <v>935</v>
      </c>
      <c r="H915" s="19"/>
      <c r="I915" s="24" t="n">
        <f aca="false">IF(AND(ISNUMBER(B915),ISNUMBER(D915)),B915*D915,0)</f>
        <v>374.4</v>
      </c>
    </row>
    <row r="916" customFormat="false" ht="15" hidden="false" customHeight="false" outlineLevel="0" collapsed="false">
      <c r="A916" s="19" t="s">
        <v>1042</v>
      </c>
      <c r="B916" s="22" t="n">
        <v>390</v>
      </c>
      <c r="C916" s="19" t="n">
        <v>23</v>
      </c>
      <c r="D916" s="23" t="n">
        <v>0.57</v>
      </c>
      <c r="E916" s="19" t="s">
        <v>168</v>
      </c>
      <c r="F916" s="19" t="s">
        <v>140</v>
      </c>
      <c r="G916" s="19" t="s">
        <v>935</v>
      </c>
      <c r="H916" s="19"/>
      <c r="I916" s="24" t="n">
        <f aca="false">IF(AND(ISNUMBER(B916),ISNUMBER(D916)),B916*D916,0)</f>
        <v>222.3</v>
      </c>
    </row>
    <row r="917" customFormat="false" ht="15" hidden="false" customHeight="false" outlineLevel="0" collapsed="false">
      <c r="A917" s="19" t="s">
        <v>1043</v>
      </c>
      <c r="B917" s="22" t="n">
        <v>390</v>
      </c>
      <c r="C917" s="19" t="n">
        <v>23</v>
      </c>
      <c r="D917" s="23" t="n">
        <v>0.54</v>
      </c>
      <c r="E917" s="19" t="s">
        <v>135</v>
      </c>
      <c r="F917" s="19" t="s">
        <v>140</v>
      </c>
      <c r="G917" s="19" t="s">
        <v>935</v>
      </c>
      <c r="H917" s="19"/>
      <c r="I917" s="24" t="n">
        <f aca="false">IF(AND(ISNUMBER(B917),ISNUMBER(D917)),B917*D917,0)</f>
        <v>210.6</v>
      </c>
    </row>
    <row r="918" customFormat="false" ht="15" hidden="false" customHeight="false" outlineLevel="0" collapsed="false">
      <c r="A918" s="19" t="s">
        <v>1044</v>
      </c>
      <c r="B918" s="22" t="n">
        <v>390</v>
      </c>
      <c r="C918" s="19" t="n">
        <v>25</v>
      </c>
      <c r="D918" s="23" t="n">
        <v>0.72</v>
      </c>
      <c r="E918" s="19" t="s">
        <v>135</v>
      </c>
      <c r="F918" s="19" t="s">
        <v>140</v>
      </c>
      <c r="G918" s="19" t="s">
        <v>935</v>
      </c>
      <c r="H918" s="19"/>
      <c r="I918" s="24" t="n">
        <f aca="false">IF(AND(ISNUMBER(B918),ISNUMBER(D918)),B918*D918,0)</f>
        <v>280.8</v>
      </c>
    </row>
    <row r="919" customFormat="false" ht="15" hidden="false" customHeight="false" outlineLevel="0" collapsed="false">
      <c r="A919" s="19" t="s">
        <v>1045</v>
      </c>
      <c r="B919" s="22" t="n">
        <v>390</v>
      </c>
      <c r="C919" s="19" t="n">
        <v>21</v>
      </c>
      <c r="D919" s="23" t="n">
        <v>0.84</v>
      </c>
      <c r="E919" s="19" t="s">
        <v>135</v>
      </c>
      <c r="F919" s="19" t="s">
        <v>140</v>
      </c>
      <c r="G919" s="19" t="s">
        <v>935</v>
      </c>
      <c r="H919" s="19"/>
      <c r="I919" s="24" t="n">
        <f aca="false">IF(AND(ISNUMBER(B919),ISNUMBER(D919)),B919*D919,0)</f>
        <v>327.6</v>
      </c>
    </row>
    <row r="920" customFormat="false" ht="15" hidden="false" customHeight="false" outlineLevel="0" collapsed="false">
      <c r="A920" s="19" t="s">
        <v>1046</v>
      </c>
      <c r="B920" s="22" t="n">
        <v>390</v>
      </c>
      <c r="C920" s="19" t="n">
        <v>9</v>
      </c>
      <c r="D920" s="23" t="n">
        <v>0.72</v>
      </c>
      <c r="E920" s="19" t="s">
        <v>135</v>
      </c>
      <c r="F920" s="19" t="s">
        <v>140</v>
      </c>
      <c r="G920" s="19" t="s">
        <v>935</v>
      </c>
      <c r="H920" s="19"/>
      <c r="I920" s="24" t="n">
        <f aca="false">IF(AND(ISNUMBER(B920),ISNUMBER(D920)),B920*D920,0)</f>
        <v>280.8</v>
      </c>
    </row>
    <row r="921" customFormat="false" ht="15" hidden="false" customHeight="false" outlineLevel="0" collapsed="false">
      <c r="A921" s="19" t="s">
        <v>1047</v>
      </c>
      <c r="B921" s="22" t="n">
        <v>390</v>
      </c>
      <c r="C921" s="19" t="n">
        <v>12</v>
      </c>
      <c r="D921" s="23" t="n">
        <v>0.36</v>
      </c>
      <c r="E921" s="19" t="s">
        <v>135</v>
      </c>
      <c r="F921" s="19" t="s">
        <v>140</v>
      </c>
      <c r="G921" s="19" t="s">
        <v>935</v>
      </c>
      <c r="H921" s="19"/>
      <c r="I921" s="24" t="n">
        <f aca="false">IF(AND(ISNUMBER(B921),ISNUMBER(D921)),B921*D921,0)</f>
        <v>140.4</v>
      </c>
    </row>
    <row r="922" customFormat="false" ht="15" hidden="false" customHeight="false" outlineLevel="0" collapsed="false">
      <c r="A922" s="19" t="s">
        <v>1048</v>
      </c>
      <c r="B922" s="22" t="n">
        <v>390</v>
      </c>
      <c r="C922" s="19" t="n">
        <v>23</v>
      </c>
      <c r="D922" s="23" t="n">
        <v>0.53</v>
      </c>
      <c r="E922" s="19" t="s">
        <v>168</v>
      </c>
      <c r="F922" s="19" t="s">
        <v>161</v>
      </c>
      <c r="G922" s="19" t="s">
        <v>935</v>
      </c>
      <c r="H922" s="19"/>
      <c r="I922" s="24" t="n">
        <f aca="false">IF(AND(ISNUMBER(B922),ISNUMBER(D922)),B922*D922,0)</f>
        <v>206.7</v>
      </c>
    </row>
    <row r="923" customFormat="false" ht="15" hidden="false" customHeight="false" outlineLevel="0" collapsed="false">
      <c r="A923" s="19" t="s">
        <v>1049</v>
      </c>
      <c r="B923" s="22" t="n">
        <v>390</v>
      </c>
      <c r="C923" s="19" t="n">
        <v>16</v>
      </c>
      <c r="D923" s="23" t="n">
        <v>0.38</v>
      </c>
      <c r="E923" s="19" t="s">
        <v>135</v>
      </c>
      <c r="F923" s="19" t="s">
        <v>161</v>
      </c>
      <c r="G923" s="19" t="s">
        <v>935</v>
      </c>
      <c r="H923" s="19"/>
      <c r="I923" s="24" t="n">
        <f aca="false">IF(AND(ISNUMBER(B923),ISNUMBER(D923)),B923*D923,0)</f>
        <v>148.2</v>
      </c>
    </row>
    <row r="924" customFormat="false" ht="15" hidden="false" customHeight="false" outlineLevel="0" collapsed="false">
      <c r="A924" s="19" t="s">
        <v>1050</v>
      </c>
      <c r="B924" s="22" t="n">
        <v>390</v>
      </c>
      <c r="C924" s="19" t="n">
        <v>22</v>
      </c>
      <c r="D924" s="23" t="n">
        <v>0.4</v>
      </c>
      <c r="E924" s="19" t="s">
        <v>135</v>
      </c>
      <c r="F924" s="19" t="s">
        <v>161</v>
      </c>
      <c r="G924" s="19" t="s">
        <v>935</v>
      </c>
      <c r="H924" s="19"/>
      <c r="I924" s="24" t="n">
        <f aca="false">IF(AND(ISNUMBER(B924),ISNUMBER(D924)),B924*D924,0)</f>
        <v>156</v>
      </c>
    </row>
    <row r="925" customFormat="false" ht="15" hidden="false" customHeight="false" outlineLevel="0" collapsed="false">
      <c r="A925" s="19" t="s">
        <v>1051</v>
      </c>
      <c r="B925" s="22" t="n">
        <v>390</v>
      </c>
      <c r="C925" s="19" t="n">
        <v>21</v>
      </c>
      <c r="D925" s="23" t="n">
        <v>0.6</v>
      </c>
      <c r="E925" s="19" t="s">
        <v>135</v>
      </c>
      <c r="F925" s="19" t="s">
        <v>161</v>
      </c>
      <c r="G925" s="19" t="s">
        <v>935</v>
      </c>
      <c r="H925" s="19"/>
      <c r="I925" s="24" t="n">
        <f aca="false">IF(AND(ISNUMBER(B925),ISNUMBER(D925)),B925*D925,0)</f>
        <v>234</v>
      </c>
    </row>
    <row r="926" customFormat="false" ht="15" hidden="false" customHeight="false" outlineLevel="0" collapsed="false">
      <c r="A926" s="19" t="s">
        <v>1052</v>
      </c>
      <c r="B926" s="22" t="n">
        <v>390</v>
      </c>
      <c r="C926" s="19" t="n">
        <v>25</v>
      </c>
      <c r="D926" s="23" t="n">
        <v>0</v>
      </c>
      <c r="E926" s="19" t="s">
        <v>220</v>
      </c>
      <c r="F926" s="19" t="s">
        <v>161</v>
      </c>
      <c r="G926" s="19" t="s">
        <v>935</v>
      </c>
      <c r="H926" s="19"/>
      <c r="I926" s="24" t="n">
        <f aca="false">IF(AND(ISNUMBER(B926),ISNUMBER(D926)),B926*D926,0)</f>
        <v>0</v>
      </c>
    </row>
    <row r="927" customFormat="false" ht="15" hidden="false" customHeight="false" outlineLevel="0" collapsed="false">
      <c r="A927" s="19" t="s">
        <v>1053</v>
      </c>
      <c r="B927" s="22" t="n">
        <v>390</v>
      </c>
      <c r="C927" s="19" t="n">
        <v>24</v>
      </c>
      <c r="D927" s="23" t="n">
        <v>1.36</v>
      </c>
      <c r="E927" s="19" t="s">
        <v>135</v>
      </c>
      <c r="F927" s="19" t="s">
        <v>161</v>
      </c>
      <c r="G927" s="19" t="s">
        <v>935</v>
      </c>
      <c r="H927" s="19"/>
      <c r="I927" s="24" t="n">
        <f aca="false">IF(AND(ISNUMBER(B927),ISNUMBER(D927)),B927*D927,0)</f>
        <v>530.4</v>
      </c>
    </row>
    <row r="928" customFormat="false" ht="15" hidden="false" customHeight="false" outlineLevel="0" collapsed="false">
      <c r="A928" s="19" t="s">
        <v>1054</v>
      </c>
      <c r="B928" s="22" t="n">
        <v>390</v>
      </c>
      <c r="C928" s="19" t="n">
        <v>9</v>
      </c>
      <c r="D928" s="23" t="n">
        <v>0.51</v>
      </c>
      <c r="E928" s="19" t="s">
        <v>135</v>
      </c>
      <c r="F928" s="19" t="s">
        <v>161</v>
      </c>
      <c r="G928" s="19" t="s">
        <v>935</v>
      </c>
      <c r="H928" s="19"/>
      <c r="I928" s="24" t="n">
        <f aca="false">IF(AND(ISNUMBER(B928),ISNUMBER(D928)),B928*D928,0)</f>
        <v>198.9</v>
      </c>
    </row>
    <row r="929" customFormat="false" ht="15" hidden="false" customHeight="false" outlineLevel="0" collapsed="false">
      <c r="A929" s="19" t="s">
        <v>1055</v>
      </c>
      <c r="B929" s="22" t="n">
        <v>390</v>
      </c>
      <c r="C929" s="19" t="n">
        <v>10</v>
      </c>
      <c r="D929" s="23" t="n">
        <v>0</v>
      </c>
      <c r="E929" s="19" t="s">
        <v>145</v>
      </c>
      <c r="F929" s="19" t="s">
        <v>161</v>
      </c>
      <c r="G929" s="19" t="s">
        <v>935</v>
      </c>
      <c r="H929" s="19"/>
      <c r="I929" s="24" t="n">
        <f aca="false">IF(AND(ISNUMBER(B929),ISNUMBER(D929)),B929*D929,0)</f>
        <v>0</v>
      </c>
    </row>
    <row r="930" customFormat="false" ht="15" hidden="false" customHeight="false" outlineLevel="0" collapsed="false">
      <c r="A930" s="19" t="s">
        <v>1056</v>
      </c>
      <c r="B930" s="22" t="n">
        <v>390</v>
      </c>
      <c r="C930" s="19" t="n">
        <v>23</v>
      </c>
      <c r="D930" s="23" t="n">
        <v>0.99</v>
      </c>
      <c r="E930" s="19" t="s">
        <v>135</v>
      </c>
      <c r="F930" s="19" t="s">
        <v>161</v>
      </c>
      <c r="G930" s="19" t="s">
        <v>935</v>
      </c>
      <c r="H930" s="19"/>
      <c r="I930" s="24" t="n">
        <f aca="false">IF(AND(ISNUMBER(B930),ISNUMBER(D930)),B930*D930,0)</f>
        <v>386.1</v>
      </c>
    </row>
    <row r="931" customFormat="false" ht="15" hidden="false" customHeight="false" outlineLevel="0" collapsed="false">
      <c r="A931" s="19" t="s">
        <v>1057</v>
      </c>
      <c r="B931" s="22" t="n">
        <v>390</v>
      </c>
      <c r="C931" s="19" t="n">
        <v>17</v>
      </c>
      <c r="D931" s="23" t="n">
        <v>0.29</v>
      </c>
      <c r="E931" s="19" t="s">
        <v>135</v>
      </c>
      <c r="F931" s="19" t="s">
        <v>161</v>
      </c>
      <c r="G931" s="19" t="s">
        <v>935</v>
      </c>
      <c r="H931" s="19"/>
      <c r="I931" s="24" t="n">
        <f aca="false">IF(AND(ISNUMBER(B931),ISNUMBER(D931)),B931*D931,0)</f>
        <v>113.1</v>
      </c>
    </row>
    <row r="932" customFormat="false" ht="15" hidden="false" customHeight="false" outlineLevel="0" collapsed="false">
      <c r="A932" s="19" t="s">
        <v>1058</v>
      </c>
      <c r="B932" s="22" t="n">
        <v>390</v>
      </c>
      <c r="C932" s="19" t="n">
        <v>14</v>
      </c>
      <c r="D932" s="23" t="n">
        <v>1.09</v>
      </c>
      <c r="E932" s="19" t="s">
        <v>135</v>
      </c>
      <c r="F932" s="19" t="s">
        <v>161</v>
      </c>
      <c r="G932" s="19" t="s">
        <v>935</v>
      </c>
      <c r="H932" s="19"/>
      <c r="I932" s="24" t="n">
        <f aca="false">IF(AND(ISNUMBER(B932),ISNUMBER(D932)),B932*D932,0)</f>
        <v>425.1</v>
      </c>
    </row>
    <row r="933" customFormat="false" ht="15" hidden="false" customHeight="false" outlineLevel="0" collapsed="false">
      <c r="A933" s="19" t="s">
        <v>1059</v>
      </c>
      <c r="B933" s="22" t="n">
        <v>390</v>
      </c>
      <c r="C933" s="19" t="n">
        <v>17</v>
      </c>
      <c r="D933" s="23" t="n">
        <v>0.44</v>
      </c>
      <c r="E933" s="19" t="s">
        <v>135</v>
      </c>
      <c r="F933" s="19" t="s">
        <v>140</v>
      </c>
      <c r="G933" s="19" t="s">
        <v>935</v>
      </c>
      <c r="H933" s="19"/>
      <c r="I933" s="24" t="n">
        <f aca="false">IF(AND(ISNUMBER(B933),ISNUMBER(D933)),B933*D933,0)</f>
        <v>171.6</v>
      </c>
    </row>
    <row r="934" customFormat="false" ht="15" hidden="false" customHeight="false" outlineLevel="0" collapsed="false">
      <c r="A934" s="19" t="s">
        <v>1060</v>
      </c>
      <c r="B934" s="22" t="n">
        <v>390</v>
      </c>
      <c r="C934" s="19" t="n">
        <v>14</v>
      </c>
      <c r="D934" s="23" t="n">
        <v>0.65</v>
      </c>
      <c r="E934" s="19" t="s">
        <v>135</v>
      </c>
      <c r="F934" s="19" t="s">
        <v>136</v>
      </c>
      <c r="G934" s="19" t="s">
        <v>935</v>
      </c>
      <c r="H934" s="19"/>
      <c r="I934" s="24" t="n">
        <f aca="false">IF(AND(ISNUMBER(B934),ISNUMBER(D934)),B934*D934,0)</f>
        <v>253.5</v>
      </c>
    </row>
    <row r="935" customFormat="false" ht="15" hidden="false" customHeight="false" outlineLevel="0" collapsed="false">
      <c r="A935" s="19" t="s">
        <v>1061</v>
      </c>
      <c r="B935" s="22" t="n">
        <v>390</v>
      </c>
      <c r="C935" s="19" t="n">
        <v>23</v>
      </c>
      <c r="D935" s="23" t="n">
        <v>0.95</v>
      </c>
      <c r="E935" s="19" t="s">
        <v>135</v>
      </c>
      <c r="F935" s="19" t="s">
        <v>136</v>
      </c>
      <c r="G935" s="19" t="s">
        <v>935</v>
      </c>
      <c r="H935" s="19"/>
      <c r="I935" s="24" t="n">
        <f aca="false">IF(AND(ISNUMBER(B935),ISNUMBER(D935)),B935*D935,0)</f>
        <v>370.5</v>
      </c>
    </row>
    <row r="936" customFormat="false" ht="15" hidden="false" customHeight="false" outlineLevel="0" collapsed="false">
      <c r="A936" s="19" t="s">
        <v>1062</v>
      </c>
      <c r="B936" s="22" t="n">
        <v>390</v>
      </c>
      <c r="C936" s="19" t="n">
        <v>13</v>
      </c>
      <c r="D936" s="23" t="n">
        <v>0.74</v>
      </c>
      <c r="E936" s="19" t="s">
        <v>135</v>
      </c>
      <c r="F936" s="19" t="s">
        <v>136</v>
      </c>
      <c r="G936" s="19" t="s">
        <v>935</v>
      </c>
      <c r="H936" s="19"/>
      <c r="I936" s="24" t="n">
        <f aca="false">IF(AND(ISNUMBER(B936),ISNUMBER(D936)),B936*D936,0)</f>
        <v>288.6</v>
      </c>
    </row>
    <row r="937" customFormat="false" ht="15" hidden="false" customHeight="false" outlineLevel="0" collapsed="false">
      <c r="A937" s="19" t="s">
        <v>1063</v>
      </c>
      <c r="B937" s="22" t="n">
        <v>390</v>
      </c>
      <c r="C937" s="19" t="n">
        <v>10</v>
      </c>
      <c r="D937" s="23" t="n">
        <v>0</v>
      </c>
      <c r="E937" s="19" t="s">
        <v>135</v>
      </c>
      <c r="F937" s="19" t="s">
        <v>136</v>
      </c>
      <c r="G937" s="19" t="s">
        <v>935</v>
      </c>
      <c r="H937" s="19"/>
      <c r="I937" s="24" t="n">
        <f aca="false">IF(AND(ISNUMBER(B937),ISNUMBER(D937)),B937*D937,0)</f>
        <v>0</v>
      </c>
    </row>
    <row r="938" customFormat="false" ht="15" hidden="false" customHeight="false" outlineLevel="0" collapsed="false">
      <c r="A938" s="19" t="s">
        <v>1064</v>
      </c>
      <c r="B938" s="22" t="n">
        <v>390</v>
      </c>
      <c r="C938" s="19" t="n">
        <v>12</v>
      </c>
      <c r="D938" s="23" t="n">
        <v>0</v>
      </c>
      <c r="E938" s="19" t="s">
        <v>135</v>
      </c>
      <c r="F938" s="19" t="s">
        <v>136</v>
      </c>
      <c r="G938" s="19" t="s">
        <v>935</v>
      </c>
      <c r="H938" s="19"/>
      <c r="I938" s="24" t="n">
        <f aca="false">IF(AND(ISNUMBER(B938),ISNUMBER(D938)),B938*D938,0)</f>
        <v>0</v>
      </c>
    </row>
    <row r="939" customFormat="false" ht="15" hidden="false" customHeight="false" outlineLevel="0" collapsed="false">
      <c r="A939" s="19" t="s">
        <v>1065</v>
      </c>
      <c r="B939" s="22" t="n">
        <v>390</v>
      </c>
      <c r="C939" s="19" t="n">
        <v>9</v>
      </c>
      <c r="D939" s="23" t="n">
        <v>0.38</v>
      </c>
      <c r="E939" s="19" t="s">
        <v>135</v>
      </c>
      <c r="F939" s="19" t="s">
        <v>136</v>
      </c>
      <c r="G939" s="19" t="s">
        <v>935</v>
      </c>
      <c r="H939" s="19"/>
      <c r="I939" s="24" t="n">
        <f aca="false">IF(AND(ISNUMBER(B939),ISNUMBER(D939)),B939*D939,0)</f>
        <v>148.2</v>
      </c>
    </row>
    <row r="940" customFormat="false" ht="15" hidden="false" customHeight="false" outlineLevel="0" collapsed="false">
      <c r="A940" s="19" t="s">
        <v>1066</v>
      </c>
      <c r="B940" s="22" t="n">
        <v>320</v>
      </c>
      <c r="C940" s="19" t="n">
        <v>22</v>
      </c>
      <c r="D940" s="23" t="n">
        <v>0.9</v>
      </c>
      <c r="E940" s="19" t="s">
        <v>168</v>
      </c>
      <c r="F940" s="19" t="s">
        <v>140</v>
      </c>
      <c r="G940" s="19" t="s">
        <v>935</v>
      </c>
      <c r="H940" s="19"/>
      <c r="I940" s="24" t="n">
        <f aca="false">IF(AND(ISNUMBER(B940),ISNUMBER(D940)),B940*D940,0)</f>
        <v>288</v>
      </c>
    </row>
    <row r="941" customFormat="false" ht="15" hidden="false" customHeight="false" outlineLevel="0" collapsed="false">
      <c r="A941" s="19" t="s">
        <v>1067</v>
      </c>
      <c r="B941" s="22" t="n">
        <v>320</v>
      </c>
      <c r="C941" s="19" t="n">
        <v>26</v>
      </c>
      <c r="D941" s="23" t="n">
        <v>0.72</v>
      </c>
      <c r="E941" s="19" t="s">
        <v>168</v>
      </c>
      <c r="F941" s="19" t="s">
        <v>140</v>
      </c>
      <c r="G941" s="19" t="s">
        <v>935</v>
      </c>
      <c r="H941" s="19"/>
      <c r="I941" s="24" t="n">
        <f aca="false">IF(AND(ISNUMBER(B941),ISNUMBER(D941)),B941*D941,0)</f>
        <v>230.4</v>
      </c>
    </row>
    <row r="942" customFormat="false" ht="15" hidden="false" customHeight="false" outlineLevel="0" collapsed="false">
      <c r="A942" s="19" t="s">
        <v>1068</v>
      </c>
      <c r="B942" s="22" t="n">
        <v>320</v>
      </c>
      <c r="C942" s="19" t="n">
        <v>24</v>
      </c>
      <c r="D942" s="23" t="n">
        <v>0.24</v>
      </c>
      <c r="E942" s="19" t="s">
        <v>135</v>
      </c>
      <c r="F942" s="19" t="s">
        <v>140</v>
      </c>
      <c r="G942" s="19" t="s">
        <v>935</v>
      </c>
      <c r="H942" s="19"/>
      <c r="I942" s="24" t="n">
        <f aca="false">IF(AND(ISNUMBER(B942),ISNUMBER(D942)),B942*D942,0)</f>
        <v>76.8</v>
      </c>
    </row>
    <row r="943" customFormat="false" ht="15" hidden="false" customHeight="false" outlineLevel="0" collapsed="false">
      <c r="A943" s="19" t="s">
        <v>1069</v>
      </c>
      <c r="B943" s="22" t="n">
        <v>320</v>
      </c>
      <c r="C943" s="19" t="n">
        <v>24</v>
      </c>
      <c r="D943" s="23" t="n">
        <v>0.65</v>
      </c>
      <c r="E943" s="19" t="s">
        <v>135</v>
      </c>
      <c r="F943" s="19" t="s">
        <v>140</v>
      </c>
      <c r="G943" s="19" t="s">
        <v>935</v>
      </c>
      <c r="H943" s="19"/>
      <c r="I943" s="24" t="n">
        <f aca="false">IF(AND(ISNUMBER(B943),ISNUMBER(D943)),B943*D943,0)</f>
        <v>208</v>
      </c>
    </row>
    <row r="944" customFormat="false" ht="15" hidden="false" customHeight="false" outlineLevel="0" collapsed="false">
      <c r="A944" s="19" t="s">
        <v>1070</v>
      </c>
      <c r="B944" s="22" t="n">
        <v>320</v>
      </c>
      <c r="C944" s="19" t="n">
        <v>17</v>
      </c>
      <c r="D944" s="23" t="n">
        <v>0.79</v>
      </c>
      <c r="E944" s="19" t="s">
        <v>135</v>
      </c>
      <c r="F944" s="19" t="s">
        <v>161</v>
      </c>
      <c r="G944" s="19" t="s">
        <v>935</v>
      </c>
      <c r="H944" s="19"/>
      <c r="I944" s="24" t="n">
        <f aca="false">IF(AND(ISNUMBER(B944),ISNUMBER(D944)),B944*D944,0)</f>
        <v>252.8</v>
      </c>
    </row>
    <row r="945" customFormat="false" ht="15" hidden="false" customHeight="false" outlineLevel="0" collapsed="false">
      <c r="A945" s="19" t="s">
        <v>1071</v>
      </c>
      <c r="B945" s="22" t="n">
        <v>320</v>
      </c>
      <c r="C945" s="19" t="n">
        <v>22</v>
      </c>
      <c r="D945" s="23" t="n">
        <v>0.55</v>
      </c>
      <c r="E945" s="19" t="s">
        <v>135</v>
      </c>
      <c r="F945" s="19" t="s">
        <v>161</v>
      </c>
      <c r="G945" s="19" t="s">
        <v>935</v>
      </c>
      <c r="H945" s="19"/>
      <c r="I945" s="24" t="n">
        <f aca="false">IF(AND(ISNUMBER(B945),ISNUMBER(D945)),B945*D945,0)</f>
        <v>176</v>
      </c>
    </row>
    <row r="946" customFormat="false" ht="15" hidden="false" customHeight="false" outlineLevel="0" collapsed="false">
      <c r="A946" s="19" t="s">
        <v>1072</v>
      </c>
      <c r="B946" s="22" t="n">
        <v>320</v>
      </c>
      <c r="C946" s="19" t="n">
        <v>13</v>
      </c>
      <c r="D946" s="23" t="n">
        <v>0.1</v>
      </c>
      <c r="E946" s="19" t="s">
        <v>135</v>
      </c>
      <c r="F946" s="19" t="s">
        <v>161</v>
      </c>
      <c r="G946" s="19" t="s">
        <v>935</v>
      </c>
      <c r="H946" s="19"/>
      <c r="I946" s="24" t="n">
        <f aca="false">IF(AND(ISNUMBER(B946),ISNUMBER(D946)),B946*D946,0)</f>
        <v>32</v>
      </c>
    </row>
    <row r="947" customFormat="false" ht="15" hidden="false" customHeight="false" outlineLevel="0" collapsed="false">
      <c r="A947" s="19" t="s">
        <v>1073</v>
      </c>
      <c r="B947" s="22" t="n">
        <v>320</v>
      </c>
      <c r="C947" s="19" t="n">
        <v>12</v>
      </c>
      <c r="D947" s="23" t="n">
        <v>0.67</v>
      </c>
      <c r="E947" s="19" t="s">
        <v>135</v>
      </c>
      <c r="F947" s="19" t="s">
        <v>161</v>
      </c>
      <c r="G947" s="19" t="s">
        <v>935</v>
      </c>
      <c r="H947" s="19"/>
      <c r="I947" s="24" t="n">
        <f aca="false">IF(AND(ISNUMBER(B947),ISNUMBER(D947)),B947*D947,0)</f>
        <v>214.4</v>
      </c>
    </row>
    <row r="948" customFormat="false" ht="15" hidden="false" customHeight="false" outlineLevel="0" collapsed="false">
      <c r="A948" s="19" t="s">
        <v>1074</v>
      </c>
      <c r="B948" s="22" t="n">
        <v>320</v>
      </c>
      <c r="C948" s="19" t="n">
        <v>17</v>
      </c>
      <c r="D948" s="23" t="n">
        <v>0.49</v>
      </c>
      <c r="E948" s="19"/>
      <c r="F948" s="19" t="s">
        <v>161</v>
      </c>
      <c r="G948" s="19" t="s">
        <v>935</v>
      </c>
      <c r="H948" s="19"/>
      <c r="I948" s="24" t="n">
        <f aca="false">IF(AND(ISNUMBER(B948),ISNUMBER(D948)),B948*D948,0)</f>
        <v>156.8</v>
      </c>
    </row>
    <row r="949" customFormat="false" ht="15" hidden="false" customHeight="false" outlineLevel="0" collapsed="false">
      <c r="A949" s="19" t="s">
        <v>1075</v>
      </c>
      <c r="B949" s="22" t="n">
        <v>320</v>
      </c>
      <c r="C949" s="19" t="n">
        <v>24</v>
      </c>
      <c r="D949" s="23" t="n">
        <v>0</v>
      </c>
      <c r="E949" s="19" t="s">
        <v>135</v>
      </c>
      <c r="F949" s="19" t="s">
        <v>161</v>
      </c>
      <c r="G949" s="19" t="s">
        <v>935</v>
      </c>
      <c r="H949" s="19"/>
      <c r="I949" s="24" t="n">
        <f aca="false">IF(AND(ISNUMBER(B949),ISNUMBER(D949)),B949*D949,0)</f>
        <v>0</v>
      </c>
    </row>
    <row r="950" customFormat="false" ht="15" hidden="false" customHeight="false" outlineLevel="0" collapsed="false">
      <c r="A950" s="19" t="s">
        <v>1076</v>
      </c>
      <c r="B950" s="22" t="n">
        <v>320</v>
      </c>
      <c r="C950" s="19" t="n">
        <v>6</v>
      </c>
      <c r="D950" s="23" t="n">
        <v>0.83</v>
      </c>
      <c r="E950" s="19" t="s">
        <v>145</v>
      </c>
      <c r="F950" s="19" t="s">
        <v>161</v>
      </c>
      <c r="G950" s="19" t="s">
        <v>935</v>
      </c>
      <c r="H950" s="19"/>
      <c r="I950" s="24" t="n">
        <f aca="false">IF(AND(ISNUMBER(B950),ISNUMBER(D950)),B950*D950,0)</f>
        <v>265.6</v>
      </c>
    </row>
    <row r="951" customFormat="false" ht="15" hidden="false" customHeight="false" outlineLevel="0" collapsed="false">
      <c r="A951" s="19" t="s">
        <v>1077</v>
      </c>
      <c r="B951" s="22" t="n">
        <v>320</v>
      </c>
      <c r="C951" s="19" t="n">
        <v>15</v>
      </c>
      <c r="D951" s="23" t="n">
        <v>0.31</v>
      </c>
      <c r="E951" s="19" t="s">
        <v>135</v>
      </c>
      <c r="F951" s="19" t="s">
        <v>161</v>
      </c>
      <c r="G951" s="19" t="s">
        <v>935</v>
      </c>
      <c r="H951" s="19"/>
      <c r="I951" s="24" t="n">
        <f aca="false">IF(AND(ISNUMBER(B951),ISNUMBER(D951)),B951*D951,0)</f>
        <v>99.2</v>
      </c>
    </row>
    <row r="952" customFormat="false" ht="15" hidden="false" customHeight="false" outlineLevel="0" collapsed="false">
      <c r="A952" s="19" t="s">
        <v>1078</v>
      </c>
      <c r="B952" s="22" t="n">
        <v>320</v>
      </c>
      <c r="C952" s="19" t="n">
        <v>24</v>
      </c>
      <c r="D952" s="23" t="n">
        <v>0.47</v>
      </c>
      <c r="E952" s="19" t="s">
        <v>135</v>
      </c>
      <c r="F952" s="19" t="s">
        <v>161</v>
      </c>
      <c r="G952" s="19" t="s">
        <v>935</v>
      </c>
      <c r="H952" s="19"/>
      <c r="I952" s="24" t="n">
        <f aca="false">IF(AND(ISNUMBER(B952),ISNUMBER(D952)),B952*D952,0)</f>
        <v>150.4</v>
      </c>
    </row>
    <row r="953" customFormat="false" ht="15" hidden="false" customHeight="false" outlineLevel="0" collapsed="false">
      <c r="A953" s="19" t="s">
        <v>1079</v>
      </c>
      <c r="B953" s="22" t="n">
        <v>320</v>
      </c>
      <c r="C953" s="19" t="n">
        <v>24</v>
      </c>
      <c r="D953" s="23" t="n">
        <v>2.36</v>
      </c>
      <c r="E953" s="19" t="s">
        <v>135</v>
      </c>
      <c r="F953" s="19" t="s">
        <v>161</v>
      </c>
      <c r="G953" s="19" t="s">
        <v>935</v>
      </c>
      <c r="H953" s="19"/>
      <c r="I953" s="24" t="n">
        <f aca="false">IF(AND(ISNUMBER(B953),ISNUMBER(D953)),B953*D953,0)</f>
        <v>755.2</v>
      </c>
    </row>
    <row r="954" customFormat="false" ht="15" hidden="false" customHeight="false" outlineLevel="0" collapsed="false">
      <c r="A954" s="19" t="s">
        <v>1080</v>
      </c>
      <c r="B954" s="22" t="n">
        <v>320</v>
      </c>
      <c r="C954" s="19" t="n">
        <v>18</v>
      </c>
      <c r="D954" s="23" t="n">
        <v>0</v>
      </c>
      <c r="E954" s="19" t="s">
        <v>135</v>
      </c>
      <c r="F954" s="19" t="s">
        <v>140</v>
      </c>
      <c r="G954" s="19" t="s">
        <v>935</v>
      </c>
      <c r="H954" s="19"/>
      <c r="I954" s="24" t="n">
        <f aca="false">IF(AND(ISNUMBER(B954),ISNUMBER(D954)),B954*D954,0)</f>
        <v>0</v>
      </c>
    </row>
    <row r="955" customFormat="false" ht="15" hidden="false" customHeight="false" outlineLevel="0" collapsed="false">
      <c r="A955" s="19" t="s">
        <v>1081</v>
      </c>
      <c r="B955" s="22" t="n">
        <v>320</v>
      </c>
      <c r="C955" s="19" t="n">
        <v>18</v>
      </c>
      <c r="D955" s="23" t="n">
        <v>2.36</v>
      </c>
      <c r="E955" s="19" t="s">
        <v>135</v>
      </c>
      <c r="F955" s="19" t="s">
        <v>140</v>
      </c>
      <c r="G955" s="19" t="s">
        <v>935</v>
      </c>
      <c r="H955" s="19"/>
      <c r="I955" s="24" t="n">
        <f aca="false">IF(AND(ISNUMBER(B955),ISNUMBER(D955)),B955*D955,0)</f>
        <v>755.2</v>
      </c>
    </row>
    <row r="956" customFormat="false" ht="15" hidden="false" customHeight="false" outlineLevel="0" collapsed="false">
      <c r="A956" s="19" t="s">
        <v>1082</v>
      </c>
      <c r="B956" s="22" t="n">
        <v>320</v>
      </c>
      <c r="C956" s="19" t="n">
        <v>14</v>
      </c>
      <c r="D956" s="23" t="n">
        <v>0.34</v>
      </c>
      <c r="E956" s="19" t="s">
        <v>135</v>
      </c>
      <c r="F956" s="19" t="s">
        <v>136</v>
      </c>
      <c r="G956" s="19" t="s">
        <v>935</v>
      </c>
      <c r="H956" s="19"/>
      <c r="I956" s="24" t="n">
        <f aca="false">IF(AND(ISNUMBER(B956),ISNUMBER(D956)),B956*D956,0)</f>
        <v>108.8</v>
      </c>
    </row>
    <row r="957" customFormat="false" ht="15" hidden="false" customHeight="false" outlineLevel="0" collapsed="false">
      <c r="A957" s="19" t="s">
        <v>1083</v>
      </c>
      <c r="B957" s="22" t="n">
        <v>320</v>
      </c>
      <c r="C957" s="19" t="n">
        <v>13</v>
      </c>
      <c r="D957" s="23" t="n">
        <v>0.34</v>
      </c>
      <c r="E957" s="19" t="s">
        <v>135</v>
      </c>
      <c r="F957" s="19" t="s">
        <v>136</v>
      </c>
      <c r="G957" s="19" t="s">
        <v>935</v>
      </c>
      <c r="H957" s="19"/>
      <c r="I957" s="24" t="n">
        <f aca="false">IF(AND(ISNUMBER(B957),ISNUMBER(D957)),B957*D957,0)</f>
        <v>108.8</v>
      </c>
    </row>
    <row r="958" customFormat="false" ht="15" hidden="false" customHeight="false" outlineLevel="0" collapsed="false">
      <c r="A958" s="19" t="s">
        <v>1084</v>
      </c>
      <c r="B958" s="22" t="n">
        <v>320</v>
      </c>
      <c r="C958" s="19" t="n">
        <v>14</v>
      </c>
      <c r="D958" s="23" t="n">
        <v>0.29</v>
      </c>
      <c r="E958" s="19" t="s">
        <v>135</v>
      </c>
      <c r="F958" s="19" t="s">
        <v>136</v>
      </c>
      <c r="G958" s="19" t="s">
        <v>935</v>
      </c>
      <c r="H958" s="19"/>
      <c r="I958" s="24" t="n">
        <f aca="false">IF(AND(ISNUMBER(B958),ISNUMBER(D958)),B958*D958,0)</f>
        <v>92.8</v>
      </c>
    </row>
    <row r="959" customFormat="false" ht="15" hidden="false" customHeight="false" outlineLevel="0" collapsed="false">
      <c r="A959" s="19" t="s">
        <v>1085</v>
      </c>
      <c r="B959" s="22" t="n">
        <v>320</v>
      </c>
      <c r="C959" s="19" t="n">
        <v>9</v>
      </c>
      <c r="D959" s="23" t="n">
        <v>1.23</v>
      </c>
      <c r="E959" s="19" t="s">
        <v>135</v>
      </c>
      <c r="F959" s="19" t="s">
        <v>136</v>
      </c>
      <c r="G959" s="19" t="s">
        <v>935</v>
      </c>
      <c r="H959" s="19"/>
      <c r="I959" s="24" t="n">
        <f aca="false">IF(AND(ISNUMBER(B959),ISNUMBER(D959)),B959*D959,0)</f>
        <v>393.6</v>
      </c>
    </row>
    <row r="960" customFormat="false" ht="15" hidden="false" customHeight="false" outlineLevel="0" collapsed="false">
      <c r="A960" s="19" t="s">
        <v>1086</v>
      </c>
      <c r="B960" s="22" t="n">
        <v>260</v>
      </c>
      <c r="C960" s="19" t="n">
        <v>20</v>
      </c>
      <c r="D960" s="23" t="n">
        <v>0.71</v>
      </c>
      <c r="E960" s="19" t="s">
        <v>168</v>
      </c>
      <c r="F960" s="19" t="s">
        <v>140</v>
      </c>
      <c r="G960" s="19" t="s">
        <v>935</v>
      </c>
      <c r="H960" s="19"/>
      <c r="I960" s="24" t="n">
        <f aca="false">IF(AND(ISNUMBER(B960),ISNUMBER(D960)),B960*D960,0)</f>
        <v>184.6</v>
      </c>
    </row>
    <row r="961" customFormat="false" ht="15" hidden="false" customHeight="false" outlineLevel="0" collapsed="false">
      <c r="A961" s="19" t="s">
        <v>1087</v>
      </c>
      <c r="B961" s="22" t="n">
        <v>260</v>
      </c>
      <c r="C961" s="19" t="n">
        <v>13</v>
      </c>
      <c r="D961" s="23" t="n">
        <v>0.71</v>
      </c>
      <c r="E961" s="19" t="s">
        <v>168</v>
      </c>
      <c r="F961" s="19" t="s">
        <v>140</v>
      </c>
      <c r="G961" s="19" t="s">
        <v>935</v>
      </c>
      <c r="H961" s="19"/>
      <c r="I961" s="24" t="n">
        <f aca="false">IF(AND(ISNUMBER(B961),ISNUMBER(D961)),B961*D961,0)</f>
        <v>184.6</v>
      </c>
    </row>
    <row r="962" customFormat="false" ht="15" hidden="false" customHeight="false" outlineLevel="0" collapsed="false">
      <c r="A962" s="19" t="s">
        <v>1088</v>
      </c>
      <c r="B962" s="22" t="n">
        <v>260</v>
      </c>
      <c r="C962" s="19" t="n">
        <v>18</v>
      </c>
      <c r="D962" s="23" t="n">
        <v>0.75</v>
      </c>
      <c r="E962" s="19" t="s">
        <v>168</v>
      </c>
      <c r="F962" s="19" t="s">
        <v>140</v>
      </c>
      <c r="G962" s="19" t="s">
        <v>935</v>
      </c>
      <c r="H962" s="19"/>
      <c r="I962" s="24" t="n">
        <f aca="false">IF(AND(ISNUMBER(B962),ISNUMBER(D962)),B962*D962,0)</f>
        <v>195</v>
      </c>
    </row>
    <row r="963" customFormat="false" ht="15" hidden="false" customHeight="false" outlineLevel="0" collapsed="false">
      <c r="A963" s="19" t="s">
        <v>1089</v>
      </c>
      <c r="B963" s="22" t="n">
        <v>260</v>
      </c>
      <c r="C963" s="19" t="n">
        <v>10</v>
      </c>
      <c r="D963" s="23" t="n">
        <v>0.52</v>
      </c>
      <c r="E963" s="19" t="s">
        <v>168</v>
      </c>
      <c r="F963" s="19" t="s">
        <v>140</v>
      </c>
      <c r="G963" s="19" t="s">
        <v>935</v>
      </c>
      <c r="H963" s="19"/>
      <c r="I963" s="24" t="n">
        <f aca="false">IF(AND(ISNUMBER(B963),ISNUMBER(D963)),B963*D963,0)</f>
        <v>135.2</v>
      </c>
    </row>
    <row r="964" customFormat="false" ht="15" hidden="false" customHeight="false" outlineLevel="0" collapsed="false">
      <c r="A964" s="19" t="s">
        <v>1090</v>
      </c>
      <c r="B964" s="22" t="n">
        <v>260</v>
      </c>
      <c r="C964" s="19" t="n">
        <v>21</v>
      </c>
      <c r="D964" s="23" t="n">
        <v>0.52</v>
      </c>
      <c r="E964" s="19" t="s">
        <v>168</v>
      </c>
      <c r="F964" s="19" t="s">
        <v>140</v>
      </c>
      <c r="G964" s="19" t="s">
        <v>935</v>
      </c>
      <c r="H964" s="19"/>
      <c r="I964" s="24" t="n">
        <f aca="false">IF(AND(ISNUMBER(B964),ISNUMBER(D964)),B964*D964,0)</f>
        <v>135.2</v>
      </c>
    </row>
    <row r="965" customFormat="false" ht="15" hidden="false" customHeight="false" outlineLevel="0" collapsed="false">
      <c r="A965" s="19" t="s">
        <v>1091</v>
      </c>
      <c r="B965" s="22" t="n">
        <v>260</v>
      </c>
      <c r="C965" s="19" t="n">
        <v>28</v>
      </c>
      <c r="D965" s="23" t="n">
        <v>0.55</v>
      </c>
      <c r="E965" s="19" t="s">
        <v>145</v>
      </c>
      <c r="F965" s="19" t="s">
        <v>140</v>
      </c>
      <c r="G965" s="19" t="s">
        <v>935</v>
      </c>
      <c r="H965" s="19"/>
      <c r="I965" s="24" t="n">
        <f aca="false">IF(AND(ISNUMBER(B965),ISNUMBER(D965)),B965*D965,0)</f>
        <v>143</v>
      </c>
    </row>
    <row r="966" customFormat="false" ht="15" hidden="false" customHeight="false" outlineLevel="0" collapsed="false">
      <c r="A966" s="19" t="s">
        <v>1092</v>
      </c>
      <c r="B966" s="22" t="n">
        <v>260</v>
      </c>
      <c r="C966" s="19" t="n">
        <v>13</v>
      </c>
      <c r="D966" s="23" t="n">
        <v>0.86</v>
      </c>
      <c r="E966" s="19"/>
      <c r="F966" s="19" t="s">
        <v>140</v>
      </c>
      <c r="G966" s="19" t="s">
        <v>935</v>
      </c>
      <c r="H966" s="19"/>
      <c r="I966" s="24" t="n">
        <f aca="false">IF(AND(ISNUMBER(B966),ISNUMBER(D966)),B966*D966,0)</f>
        <v>223.6</v>
      </c>
    </row>
    <row r="967" customFormat="false" ht="15" hidden="false" customHeight="false" outlineLevel="0" collapsed="false">
      <c r="A967" s="19" t="s">
        <v>1093</v>
      </c>
      <c r="B967" s="22" t="n">
        <v>260</v>
      </c>
      <c r="C967" s="19" t="n">
        <v>22</v>
      </c>
      <c r="D967" s="23" t="n">
        <v>0.35</v>
      </c>
      <c r="E967" s="19" t="s">
        <v>135</v>
      </c>
      <c r="F967" s="19" t="s">
        <v>140</v>
      </c>
      <c r="G967" s="19" t="s">
        <v>935</v>
      </c>
      <c r="H967" s="19"/>
      <c r="I967" s="24" t="n">
        <f aca="false">IF(AND(ISNUMBER(B967),ISNUMBER(D967)),B967*D967,0)</f>
        <v>91</v>
      </c>
    </row>
    <row r="968" customFormat="false" ht="15" hidden="false" customHeight="false" outlineLevel="0" collapsed="false">
      <c r="A968" s="19" t="s">
        <v>1094</v>
      </c>
      <c r="B968" s="22" t="n">
        <v>260</v>
      </c>
      <c r="C968" s="19" t="n">
        <v>22</v>
      </c>
      <c r="D968" s="23" t="n">
        <v>0.35</v>
      </c>
      <c r="E968" s="19" t="s">
        <v>135</v>
      </c>
      <c r="F968" s="19" t="s">
        <v>140</v>
      </c>
      <c r="G968" s="19" t="s">
        <v>935</v>
      </c>
      <c r="H968" s="19"/>
      <c r="I968" s="24" t="n">
        <f aca="false">IF(AND(ISNUMBER(B968),ISNUMBER(D968)),B968*D968,0)</f>
        <v>91</v>
      </c>
    </row>
    <row r="969" customFormat="false" ht="15" hidden="false" customHeight="false" outlineLevel="0" collapsed="false">
      <c r="A969" s="19" t="s">
        <v>1095</v>
      </c>
      <c r="B969" s="22" t="n">
        <v>260</v>
      </c>
      <c r="C969" s="19" t="n">
        <v>9</v>
      </c>
      <c r="D969" s="23" t="n">
        <v>0.31</v>
      </c>
      <c r="E969" s="19" t="s">
        <v>135</v>
      </c>
      <c r="F969" s="19" t="s">
        <v>140</v>
      </c>
      <c r="G969" s="19" t="s">
        <v>935</v>
      </c>
      <c r="H969" s="19"/>
      <c r="I969" s="24" t="n">
        <f aca="false">IF(AND(ISNUMBER(B969),ISNUMBER(D969)),B969*D969,0)</f>
        <v>80.6</v>
      </c>
    </row>
    <row r="970" customFormat="false" ht="15" hidden="false" customHeight="false" outlineLevel="0" collapsed="false">
      <c r="A970" s="19" t="s">
        <v>1096</v>
      </c>
      <c r="B970" s="22" t="n">
        <v>260</v>
      </c>
      <c r="C970" s="19" t="n">
        <v>26</v>
      </c>
      <c r="D970" s="23" t="n">
        <v>0.65</v>
      </c>
      <c r="E970" s="19" t="s">
        <v>135</v>
      </c>
      <c r="F970" s="19" t="s">
        <v>140</v>
      </c>
      <c r="G970" s="19" t="s">
        <v>935</v>
      </c>
      <c r="H970" s="19"/>
      <c r="I970" s="24" t="n">
        <f aca="false">IF(AND(ISNUMBER(B970),ISNUMBER(D970)),B970*D970,0)</f>
        <v>169</v>
      </c>
    </row>
    <row r="971" customFormat="false" ht="15" hidden="false" customHeight="false" outlineLevel="0" collapsed="false">
      <c r="A971" s="19" t="s">
        <v>1097</v>
      </c>
      <c r="B971" s="22" t="n">
        <v>260</v>
      </c>
      <c r="C971" s="19" t="n">
        <v>18</v>
      </c>
      <c r="D971" s="23" t="n">
        <v>0.58</v>
      </c>
      <c r="E971" s="19" t="s">
        <v>135</v>
      </c>
      <c r="F971" s="19" t="s">
        <v>140</v>
      </c>
      <c r="G971" s="19" t="s">
        <v>935</v>
      </c>
      <c r="H971" s="19"/>
      <c r="I971" s="24" t="n">
        <f aca="false">IF(AND(ISNUMBER(B971),ISNUMBER(D971)),B971*D971,0)</f>
        <v>150.8</v>
      </c>
    </row>
    <row r="972" customFormat="false" ht="15" hidden="false" customHeight="false" outlineLevel="0" collapsed="false">
      <c r="A972" s="19" t="s">
        <v>1098</v>
      </c>
      <c r="B972" s="22" t="n">
        <v>260</v>
      </c>
      <c r="C972" s="19" t="n">
        <v>23</v>
      </c>
      <c r="D972" s="23" t="n">
        <v>0.64</v>
      </c>
      <c r="E972" s="19" t="s">
        <v>135</v>
      </c>
      <c r="F972" s="19" t="s">
        <v>140</v>
      </c>
      <c r="G972" s="19" t="s">
        <v>935</v>
      </c>
      <c r="H972" s="19"/>
      <c r="I972" s="24" t="n">
        <f aca="false">IF(AND(ISNUMBER(B972),ISNUMBER(D972)),B972*D972,0)</f>
        <v>166.4</v>
      </c>
    </row>
    <row r="973" customFormat="false" ht="15" hidden="false" customHeight="false" outlineLevel="0" collapsed="false">
      <c r="A973" s="19" t="s">
        <v>1099</v>
      </c>
      <c r="B973" s="22" t="n">
        <v>260</v>
      </c>
      <c r="C973" s="19" t="n">
        <v>16</v>
      </c>
      <c r="D973" s="23" t="n">
        <v>0.89</v>
      </c>
      <c r="E973" s="19" t="s">
        <v>135</v>
      </c>
      <c r="F973" s="19" t="s">
        <v>140</v>
      </c>
      <c r="G973" s="19" t="s">
        <v>935</v>
      </c>
      <c r="H973" s="19"/>
      <c r="I973" s="24" t="n">
        <f aca="false">IF(AND(ISNUMBER(B973),ISNUMBER(D973)),B973*D973,0)</f>
        <v>231.4</v>
      </c>
    </row>
    <row r="974" customFormat="false" ht="15" hidden="false" customHeight="false" outlineLevel="0" collapsed="false">
      <c r="A974" s="19" t="s">
        <v>1100</v>
      </c>
      <c r="B974" s="22" t="n">
        <v>260</v>
      </c>
      <c r="C974" s="19" t="n">
        <v>17</v>
      </c>
      <c r="D974" s="23" t="n">
        <v>0.46</v>
      </c>
      <c r="E974" s="19" t="s">
        <v>168</v>
      </c>
      <c r="F974" s="19" t="s">
        <v>161</v>
      </c>
      <c r="G974" s="19" t="s">
        <v>935</v>
      </c>
      <c r="H974" s="19"/>
      <c r="I974" s="24" t="n">
        <f aca="false">IF(AND(ISNUMBER(B974),ISNUMBER(D974)),B974*D974,0)</f>
        <v>119.6</v>
      </c>
    </row>
    <row r="975" customFormat="false" ht="15" hidden="false" customHeight="false" outlineLevel="0" collapsed="false">
      <c r="A975" s="19" t="s">
        <v>1101</v>
      </c>
      <c r="B975" s="22" t="n">
        <v>260</v>
      </c>
      <c r="C975" s="19" t="n">
        <v>8</v>
      </c>
      <c r="D975" s="23" t="n">
        <v>0.47</v>
      </c>
      <c r="E975" s="19" t="s">
        <v>135</v>
      </c>
      <c r="F975" s="19" t="s">
        <v>161</v>
      </c>
      <c r="G975" s="19" t="s">
        <v>935</v>
      </c>
      <c r="H975" s="19"/>
      <c r="I975" s="24" t="n">
        <f aca="false">IF(AND(ISNUMBER(B975),ISNUMBER(D975)),B975*D975,0)</f>
        <v>122.2</v>
      </c>
    </row>
    <row r="976" customFormat="false" ht="15" hidden="false" customHeight="false" outlineLevel="0" collapsed="false">
      <c r="A976" s="19" t="s">
        <v>1102</v>
      </c>
      <c r="B976" s="22" t="n">
        <v>260</v>
      </c>
      <c r="C976" s="19" t="n">
        <v>19</v>
      </c>
      <c r="D976" s="23" t="n">
        <v>0.27</v>
      </c>
      <c r="E976" s="19" t="s">
        <v>135</v>
      </c>
      <c r="F976" s="19" t="s">
        <v>161</v>
      </c>
      <c r="G976" s="19" t="s">
        <v>935</v>
      </c>
      <c r="H976" s="19"/>
      <c r="I976" s="24" t="n">
        <f aca="false">IF(AND(ISNUMBER(B976),ISNUMBER(D976)),B976*D976,0)</f>
        <v>70.2</v>
      </c>
    </row>
    <row r="977" customFormat="false" ht="15" hidden="false" customHeight="false" outlineLevel="0" collapsed="false">
      <c r="A977" s="19" t="s">
        <v>1103</v>
      </c>
      <c r="B977" s="22" t="n">
        <v>260</v>
      </c>
      <c r="C977" s="19" t="n">
        <v>24</v>
      </c>
      <c r="D977" s="23" t="n">
        <v>0.82</v>
      </c>
      <c r="E977" s="19" t="s">
        <v>135</v>
      </c>
      <c r="F977" s="19" t="s">
        <v>161</v>
      </c>
      <c r="G977" s="19" t="s">
        <v>935</v>
      </c>
      <c r="H977" s="19"/>
      <c r="I977" s="24" t="n">
        <f aca="false">IF(AND(ISNUMBER(B977),ISNUMBER(D977)),B977*D977,0)</f>
        <v>213.2</v>
      </c>
    </row>
    <row r="978" customFormat="false" ht="15" hidden="false" customHeight="false" outlineLevel="0" collapsed="false">
      <c r="A978" s="19" t="s">
        <v>1104</v>
      </c>
      <c r="B978" s="22" t="n">
        <v>260</v>
      </c>
      <c r="C978" s="19" t="n">
        <v>23</v>
      </c>
      <c r="D978" s="23" t="n">
        <v>0.65</v>
      </c>
      <c r="E978" s="19" t="s">
        <v>135</v>
      </c>
      <c r="F978" s="19" t="s">
        <v>161</v>
      </c>
      <c r="G978" s="19" t="s">
        <v>935</v>
      </c>
      <c r="H978" s="19"/>
      <c r="I978" s="24" t="n">
        <f aca="false">IF(AND(ISNUMBER(B978),ISNUMBER(D978)),B978*D978,0)</f>
        <v>169</v>
      </c>
    </row>
    <row r="979" customFormat="false" ht="15" hidden="false" customHeight="false" outlineLevel="0" collapsed="false">
      <c r="A979" s="19" t="s">
        <v>1105</v>
      </c>
      <c r="B979" s="22" t="n">
        <v>260</v>
      </c>
      <c r="C979" s="19" t="n">
        <v>10</v>
      </c>
      <c r="D979" s="23" t="n">
        <v>0.98</v>
      </c>
      <c r="E979" s="19" t="s">
        <v>135</v>
      </c>
      <c r="F979" s="19" t="s">
        <v>161</v>
      </c>
      <c r="G979" s="19" t="s">
        <v>935</v>
      </c>
      <c r="H979" s="19"/>
      <c r="I979" s="24" t="n">
        <f aca="false">IF(AND(ISNUMBER(B979),ISNUMBER(D979)),B979*D979,0)</f>
        <v>254.8</v>
      </c>
    </row>
    <row r="980" customFormat="false" ht="15" hidden="false" customHeight="false" outlineLevel="0" collapsed="false">
      <c r="A980" s="19" t="s">
        <v>1106</v>
      </c>
      <c r="B980" s="22" t="n">
        <v>260</v>
      </c>
      <c r="C980" s="19" t="n">
        <v>23</v>
      </c>
      <c r="D980" s="23" t="n">
        <v>0.74</v>
      </c>
      <c r="E980" s="19" t="s">
        <v>135</v>
      </c>
      <c r="F980" s="19" t="s">
        <v>161</v>
      </c>
      <c r="G980" s="19" t="s">
        <v>935</v>
      </c>
      <c r="H980" s="19"/>
      <c r="I980" s="24" t="n">
        <f aca="false">IF(AND(ISNUMBER(B980),ISNUMBER(D980)),B980*D980,0)</f>
        <v>192.4</v>
      </c>
    </row>
    <row r="981" customFormat="false" ht="15" hidden="false" customHeight="false" outlineLevel="0" collapsed="false">
      <c r="A981" s="19" t="s">
        <v>1107</v>
      </c>
      <c r="B981" s="22" t="n">
        <v>260</v>
      </c>
      <c r="C981" s="19" t="n">
        <v>22</v>
      </c>
      <c r="D981" s="23" t="n">
        <v>0.58</v>
      </c>
      <c r="E981" s="19" t="s">
        <v>135</v>
      </c>
      <c r="F981" s="19" t="s">
        <v>161</v>
      </c>
      <c r="G981" s="19" t="s">
        <v>935</v>
      </c>
      <c r="H981" s="19"/>
      <c r="I981" s="24" t="n">
        <f aca="false">IF(AND(ISNUMBER(B981),ISNUMBER(D981)),B981*D981,0)</f>
        <v>150.8</v>
      </c>
    </row>
    <row r="982" customFormat="false" ht="15" hidden="false" customHeight="false" outlineLevel="0" collapsed="false">
      <c r="A982" s="19" t="s">
        <v>1108</v>
      </c>
      <c r="B982" s="22" t="n">
        <v>260</v>
      </c>
      <c r="C982" s="19" t="n">
        <v>20</v>
      </c>
      <c r="D982" s="23" t="n">
        <v>0.62</v>
      </c>
      <c r="E982" s="19" t="s">
        <v>135</v>
      </c>
      <c r="F982" s="19" t="s">
        <v>161</v>
      </c>
      <c r="G982" s="19" t="s">
        <v>935</v>
      </c>
      <c r="H982" s="19"/>
      <c r="I982" s="24" t="n">
        <f aca="false">IF(AND(ISNUMBER(B982),ISNUMBER(D982)),B982*D982,0)</f>
        <v>161.2</v>
      </c>
    </row>
    <row r="983" customFormat="false" ht="15" hidden="false" customHeight="false" outlineLevel="0" collapsed="false">
      <c r="A983" s="19" t="s">
        <v>1109</v>
      </c>
      <c r="B983" s="22" t="n">
        <v>260</v>
      </c>
      <c r="C983" s="19" t="n">
        <v>19</v>
      </c>
      <c r="D983" s="23" t="n">
        <v>1.24</v>
      </c>
      <c r="E983" s="19" t="s">
        <v>135</v>
      </c>
      <c r="F983" s="19" t="s">
        <v>161</v>
      </c>
      <c r="G983" s="19" t="s">
        <v>935</v>
      </c>
      <c r="H983" s="19"/>
      <c r="I983" s="24" t="n">
        <f aca="false">IF(AND(ISNUMBER(B983),ISNUMBER(D983)),B983*D983,0)</f>
        <v>322.4</v>
      </c>
    </row>
    <row r="984" customFormat="false" ht="15" hidden="false" customHeight="false" outlineLevel="0" collapsed="false">
      <c r="A984" s="19" t="s">
        <v>1110</v>
      </c>
      <c r="B984" s="22" t="n">
        <v>260</v>
      </c>
      <c r="C984" s="19" t="n">
        <v>29</v>
      </c>
      <c r="D984" s="23" t="n">
        <v>0</v>
      </c>
      <c r="E984" s="19" t="s">
        <v>135</v>
      </c>
      <c r="F984" s="19" t="s">
        <v>161</v>
      </c>
      <c r="G984" s="19" t="s">
        <v>935</v>
      </c>
      <c r="H984" s="19"/>
      <c r="I984" s="24" t="n">
        <f aca="false">IF(AND(ISNUMBER(B984),ISNUMBER(D984)),B984*D984,0)</f>
        <v>0</v>
      </c>
    </row>
    <row r="985" customFormat="false" ht="15" hidden="false" customHeight="false" outlineLevel="0" collapsed="false">
      <c r="A985" s="19" t="s">
        <v>1111</v>
      </c>
      <c r="B985" s="22" t="n">
        <v>260</v>
      </c>
      <c r="C985" s="19" t="n">
        <v>22</v>
      </c>
      <c r="D985" s="23" t="n">
        <v>0.33</v>
      </c>
      <c r="E985" s="19" t="s">
        <v>135</v>
      </c>
      <c r="F985" s="19" t="s">
        <v>161</v>
      </c>
      <c r="G985" s="19" t="s">
        <v>935</v>
      </c>
      <c r="H985" s="19"/>
      <c r="I985" s="24" t="n">
        <f aca="false">IF(AND(ISNUMBER(B985),ISNUMBER(D985)),B985*D985,0)</f>
        <v>85.8</v>
      </c>
    </row>
    <row r="986" customFormat="false" ht="15" hidden="false" customHeight="false" outlineLevel="0" collapsed="false">
      <c r="A986" s="19" t="s">
        <v>1112</v>
      </c>
      <c r="B986" s="22" t="n">
        <v>260</v>
      </c>
      <c r="C986" s="19" t="n">
        <v>10</v>
      </c>
      <c r="D986" s="23" t="n">
        <v>0.89</v>
      </c>
      <c r="E986" s="19" t="s">
        <v>135</v>
      </c>
      <c r="F986" s="19" t="s">
        <v>161</v>
      </c>
      <c r="G986" s="19" t="s">
        <v>935</v>
      </c>
      <c r="H986" s="19"/>
      <c r="I986" s="24" t="n">
        <f aca="false">IF(AND(ISNUMBER(B986),ISNUMBER(D986)),B986*D986,0)</f>
        <v>231.4</v>
      </c>
    </row>
    <row r="987" customFormat="false" ht="15" hidden="false" customHeight="false" outlineLevel="0" collapsed="false">
      <c r="A987" s="19" t="s">
        <v>1113</v>
      </c>
      <c r="B987" s="22" t="n">
        <v>260</v>
      </c>
      <c r="C987" s="19" t="n">
        <v>10</v>
      </c>
      <c r="D987" s="23" t="n">
        <v>1.24</v>
      </c>
      <c r="E987" s="19" t="s">
        <v>135</v>
      </c>
      <c r="F987" s="19" t="s">
        <v>161</v>
      </c>
      <c r="G987" s="19" t="s">
        <v>935</v>
      </c>
      <c r="H987" s="19"/>
      <c r="I987" s="24" t="n">
        <f aca="false">IF(AND(ISNUMBER(B987),ISNUMBER(D987)),B987*D987,0)</f>
        <v>322.4</v>
      </c>
    </row>
    <row r="988" customFormat="false" ht="15" hidden="false" customHeight="false" outlineLevel="0" collapsed="false">
      <c r="A988" s="19" t="s">
        <v>1114</v>
      </c>
      <c r="B988" s="22" t="n">
        <v>260</v>
      </c>
      <c r="C988" s="19" t="n">
        <v>19</v>
      </c>
      <c r="D988" s="23" t="n">
        <v>0.59</v>
      </c>
      <c r="E988" s="19" t="s">
        <v>135</v>
      </c>
      <c r="F988" s="19" t="s">
        <v>140</v>
      </c>
      <c r="G988" s="19" t="s">
        <v>935</v>
      </c>
      <c r="H988" s="19"/>
      <c r="I988" s="24" t="n">
        <f aca="false">IF(AND(ISNUMBER(B988),ISNUMBER(D988)),B988*D988,0)</f>
        <v>153.4</v>
      </c>
    </row>
    <row r="989" customFormat="false" ht="15" hidden="false" customHeight="false" outlineLevel="0" collapsed="false">
      <c r="A989" s="19" t="s">
        <v>1115</v>
      </c>
      <c r="B989" s="22" t="n">
        <v>260</v>
      </c>
      <c r="C989" s="19" t="n">
        <v>29</v>
      </c>
      <c r="D989" s="23" t="n">
        <v>0.33</v>
      </c>
      <c r="E989" s="19" t="s">
        <v>135</v>
      </c>
      <c r="F989" s="19" t="s">
        <v>140</v>
      </c>
      <c r="G989" s="19" t="s">
        <v>935</v>
      </c>
      <c r="H989" s="19"/>
      <c r="I989" s="24" t="n">
        <f aca="false">IF(AND(ISNUMBER(B989),ISNUMBER(D989)),B989*D989,0)</f>
        <v>85.8</v>
      </c>
    </row>
    <row r="990" customFormat="false" ht="15" hidden="false" customHeight="false" outlineLevel="0" collapsed="false">
      <c r="A990" s="19" t="s">
        <v>1116</v>
      </c>
      <c r="B990" s="22" t="n">
        <v>260</v>
      </c>
      <c r="C990" s="19" t="n">
        <v>19</v>
      </c>
      <c r="D990" s="23" t="n">
        <v>0.59</v>
      </c>
      <c r="E990" s="19" t="s">
        <v>135</v>
      </c>
      <c r="F990" s="19" t="s">
        <v>140</v>
      </c>
      <c r="G990" s="19" t="s">
        <v>935</v>
      </c>
      <c r="H990" s="19"/>
      <c r="I990" s="24" t="n">
        <f aca="false">IF(AND(ISNUMBER(B990),ISNUMBER(D990)),B990*D990,0)</f>
        <v>153.4</v>
      </c>
    </row>
    <row r="991" customFormat="false" ht="15" hidden="false" customHeight="false" outlineLevel="0" collapsed="false">
      <c r="A991" s="19" t="s">
        <v>1117</v>
      </c>
      <c r="B991" s="22" t="n">
        <v>260</v>
      </c>
      <c r="C991" s="19" t="n">
        <v>7</v>
      </c>
      <c r="D991" s="23" t="n">
        <v>0.49</v>
      </c>
      <c r="E991" s="19" t="s">
        <v>135</v>
      </c>
      <c r="F991" s="19" t="s">
        <v>136</v>
      </c>
      <c r="G991" s="19" t="s">
        <v>935</v>
      </c>
      <c r="H991" s="19"/>
      <c r="I991" s="24" t="n">
        <f aca="false">IF(AND(ISNUMBER(B991),ISNUMBER(D991)),B991*D991,0)</f>
        <v>127.4</v>
      </c>
    </row>
    <row r="992" customFormat="false" ht="15" hidden="false" customHeight="false" outlineLevel="0" collapsed="false">
      <c r="A992" s="19" t="s">
        <v>1118</v>
      </c>
      <c r="B992" s="22" t="n">
        <v>260</v>
      </c>
      <c r="C992" s="19" t="n">
        <v>10</v>
      </c>
      <c r="D992" s="23" t="n">
        <v>0</v>
      </c>
      <c r="E992" s="19" t="s">
        <v>135</v>
      </c>
      <c r="F992" s="19" t="s">
        <v>136</v>
      </c>
      <c r="G992" s="19" t="s">
        <v>935</v>
      </c>
      <c r="H992" s="19"/>
      <c r="I992" s="24" t="n">
        <f aca="false">IF(AND(ISNUMBER(B992),ISNUMBER(D992)),B992*D992,0)</f>
        <v>0</v>
      </c>
    </row>
    <row r="993" customFormat="false" ht="15" hidden="false" customHeight="false" outlineLevel="0" collapsed="false">
      <c r="A993" s="19" t="s">
        <v>1119</v>
      </c>
      <c r="B993" s="22" t="n">
        <v>260</v>
      </c>
      <c r="C993" s="19" t="n">
        <v>11</v>
      </c>
      <c r="D993" s="23" t="n">
        <v>0</v>
      </c>
      <c r="E993" s="19" t="s">
        <v>135</v>
      </c>
      <c r="F993" s="19" t="s">
        <v>136</v>
      </c>
      <c r="G993" s="19" t="s">
        <v>935</v>
      </c>
      <c r="H993" s="19"/>
      <c r="I993" s="24" t="n">
        <f aca="false">IF(AND(ISNUMBER(B993),ISNUMBER(D993)),B993*D993,0)</f>
        <v>0</v>
      </c>
    </row>
    <row r="994" customFormat="false" ht="15" hidden="false" customHeight="false" outlineLevel="0" collapsed="false">
      <c r="A994" s="19" t="s">
        <v>1120</v>
      </c>
      <c r="B994" s="22" t="n">
        <v>210</v>
      </c>
      <c r="C994" s="19" t="n">
        <v>23</v>
      </c>
      <c r="D994" s="23" t="n">
        <v>1.17</v>
      </c>
      <c r="E994" s="19" t="s">
        <v>168</v>
      </c>
      <c r="F994" s="19" t="s">
        <v>140</v>
      </c>
      <c r="G994" s="19" t="s">
        <v>935</v>
      </c>
      <c r="H994" s="19"/>
      <c r="I994" s="24" t="n">
        <f aca="false">IF(AND(ISNUMBER(B994),ISNUMBER(D994)),B994*D994,0)</f>
        <v>245.7</v>
      </c>
    </row>
    <row r="995" customFormat="false" ht="15" hidden="false" customHeight="false" outlineLevel="0" collapsed="false">
      <c r="A995" s="19" t="s">
        <v>1121</v>
      </c>
      <c r="B995" s="22" t="n">
        <v>210</v>
      </c>
      <c r="C995" s="19" t="n">
        <v>10</v>
      </c>
      <c r="D995" s="23" t="n">
        <v>0.49</v>
      </c>
      <c r="E995" s="19" t="s">
        <v>168</v>
      </c>
      <c r="F995" s="19" t="s">
        <v>140</v>
      </c>
      <c r="G995" s="19" t="s">
        <v>935</v>
      </c>
      <c r="H995" s="19"/>
      <c r="I995" s="24" t="n">
        <f aca="false">IF(AND(ISNUMBER(B995),ISNUMBER(D995)),B995*D995,0)</f>
        <v>102.9</v>
      </c>
    </row>
    <row r="996" customFormat="false" ht="15" hidden="false" customHeight="false" outlineLevel="0" collapsed="false">
      <c r="A996" s="19" t="s">
        <v>1122</v>
      </c>
      <c r="B996" s="22" t="n">
        <v>210</v>
      </c>
      <c r="C996" s="19" t="n">
        <v>23</v>
      </c>
      <c r="D996" s="23" t="n">
        <v>0</v>
      </c>
      <c r="E996" s="19"/>
      <c r="F996" s="19" t="s">
        <v>140</v>
      </c>
      <c r="G996" s="19" t="s">
        <v>935</v>
      </c>
      <c r="H996" s="19"/>
      <c r="I996" s="24" t="n">
        <f aca="false">IF(AND(ISNUMBER(B996),ISNUMBER(D996)),B996*D996,0)</f>
        <v>0</v>
      </c>
    </row>
    <row r="997" customFormat="false" ht="15" hidden="false" customHeight="false" outlineLevel="0" collapsed="false">
      <c r="A997" s="19" t="s">
        <v>1123</v>
      </c>
      <c r="B997" s="22" t="n">
        <v>210</v>
      </c>
      <c r="C997" s="19" t="n">
        <v>11</v>
      </c>
      <c r="D997" s="23" t="n">
        <v>1.17</v>
      </c>
      <c r="E997" s="19" t="s">
        <v>185</v>
      </c>
      <c r="F997" s="19" t="s">
        <v>140</v>
      </c>
      <c r="G997" s="19" t="s">
        <v>935</v>
      </c>
      <c r="H997" s="19"/>
      <c r="I997" s="24" t="n">
        <f aca="false">IF(AND(ISNUMBER(B997),ISNUMBER(D997)),B997*D997,0)</f>
        <v>245.7</v>
      </c>
    </row>
    <row r="998" customFormat="false" ht="15" hidden="false" customHeight="false" outlineLevel="0" collapsed="false">
      <c r="A998" s="19" t="s">
        <v>1124</v>
      </c>
      <c r="B998" s="22" t="n">
        <v>210</v>
      </c>
      <c r="C998" s="19" t="n">
        <v>16</v>
      </c>
      <c r="D998" s="23" t="n">
        <v>0.39</v>
      </c>
      <c r="E998" s="19" t="s">
        <v>168</v>
      </c>
      <c r="F998" s="19" t="s">
        <v>140</v>
      </c>
      <c r="G998" s="19" t="s">
        <v>935</v>
      </c>
      <c r="H998" s="19"/>
      <c r="I998" s="24" t="n">
        <f aca="false">IF(AND(ISNUMBER(B998),ISNUMBER(D998)),B998*D998,0)</f>
        <v>81.9</v>
      </c>
    </row>
    <row r="999" customFormat="false" ht="15" hidden="false" customHeight="false" outlineLevel="0" collapsed="false">
      <c r="A999" s="19" t="s">
        <v>1125</v>
      </c>
      <c r="B999" s="22" t="n">
        <v>210</v>
      </c>
      <c r="C999" s="19" t="n">
        <v>26</v>
      </c>
      <c r="D999" s="23" t="n">
        <v>0.32</v>
      </c>
      <c r="E999" s="19" t="s">
        <v>135</v>
      </c>
      <c r="F999" s="19" t="s">
        <v>140</v>
      </c>
      <c r="G999" s="19" t="s">
        <v>935</v>
      </c>
      <c r="H999" s="19"/>
      <c r="I999" s="24" t="n">
        <f aca="false">IF(AND(ISNUMBER(B999),ISNUMBER(D999)),B999*D999,0)</f>
        <v>67.2</v>
      </c>
    </row>
    <row r="1000" customFormat="false" ht="15" hidden="false" customHeight="false" outlineLevel="0" collapsed="false">
      <c r="A1000" s="19" t="s">
        <v>1126</v>
      </c>
      <c r="B1000" s="22" t="n">
        <v>210</v>
      </c>
      <c r="C1000" s="19" t="n">
        <v>19</v>
      </c>
      <c r="D1000" s="23" t="n">
        <v>0.42</v>
      </c>
      <c r="E1000" s="19" t="s">
        <v>135</v>
      </c>
      <c r="F1000" s="19" t="s">
        <v>140</v>
      </c>
      <c r="G1000" s="19" t="s">
        <v>935</v>
      </c>
      <c r="H1000" s="19"/>
      <c r="I1000" s="24" t="n">
        <f aca="false">IF(AND(ISNUMBER(B1000),ISNUMBER(D1000)),B1000*D1000,0)</f>
        <v>88.2</v>
      </c>
    </row>
    <row r="1001" customFormat="false" ht="15" hidden="false" customHeight="false" outlineLevel="0" collapsed="false">
      <c r="A1001" s="19" t="s">
        <v>1127</v>
      </c>
      <c r="B1001" s="22" t="n">
        <v>210</v>
      </c>
      <c r="C1001" s="19" t="n">
        <v>27</v>
      </c>
      <c r="D1001" s="23" t="n">
        <v>1.28</v>
      </c>
      <c r="E1001" s="19" t="s">
        <v>135</v>
      </c>
      <c r="F1001" s="19" t="s">
        <v>140</v>
      </c>
      <c r="G1001" s="19" t="s">
        <v>935</v>
      </c>
      <c r="H1001" s="19"/>
      <c r="I1001" s="24" t="n">
        <f aca="false">IF(AND(ISNUMBER(B1001),ISNUMBER(D1001)),B1001*D1001,0)</f>
        <v>268.8</v>
      </c>
    </row>
    <row r="1002" customFormat="false" ht="15" hidden="false" customHeight="false" outlineLevel="0" collapsed="false">
      <c r="A1002" s="19" t="s">
        <v>1128</v>
      </c>
      <c r="B1002" s="22" t="n">
        <v>210</v>
      </c>
      <c r="C1002" s="19" t="n">
        <v>14</v>
      </c>
      <c r="D1002" s="23" t="n">
        <v>0.32</v>
      </c>
      <c r="E1002" s="19" t="s">
        <v>135</v>
      </c>
      <c r="F1002" s="19" t="s">
        <v>140</v>
      </c>
      <c r="G1002" s="19" t="s">
        <v>935</v>
      </c>
      <c r="H1002" s="19"/>
      <c r="I1002" s="24" t="n">
        <f aca="false">IF(AND(ISNUMBER(B1002),ISNUMBER(D1002)),B1002*D1002,0)</f>
        <v>67.2</v>
      </c>
    </row>
    <row r="1003" customFormat="false" ht="15" hidden="false" customHeight="false" outlineLevel="0" collapsed="false">
      <c r="A1003" s="19" t="s">
        <v>1129</v>
      </c>
      <c r="B1003" s="22" t="n">
        <v>210</v>
      </c>
      <c r="C1003" s="19" t="n">
        <v>18</v>
      </c>
      <c r="D1003" s="23" t="n">
        <v>0.66</v>
      </c>
      <c r="E1003" s="19" t="s">
        <v>135</v>
      </c>
      <c r="F1003" s="19" t="s">
        <v>140</v>
      </c>
      <c r="G1003" s="19" t="s">
        <v>935</v>
      </c>
      <c r="H1003" s="19"/>
      <c r="I1003" s="24" t="n">
        <f aca="false">IF(AND(ISNUMBER(B1003),ISNUMBER(D1003)),B1003*D1003,0)</f>
        <v>138.6</v>
      </c>
    </row>
    <row r="1004" customFormat="false" ht="15" hidden="false" customHeight="false" outlineLevel="0" collapsed="false">
      <c r="A1004" s="19" t="s">
        <v>1130</v>
      </c>
      <c r="B1004" s="22" t="n">
        <v>210</v>
      </c>
      <c r="C1004" s="19" t="n">
        <v>9</v>
      </c>
      <c r="D1004" s="23" t="n">
        <v>0</v>
      </c>
      <c r="E1004" s="19" t="s">
        <v>135</v>
      </c>
      <c r="F1004" s="19" t="s">
        <v>140</v>
      </c>
      <c r="G1004" s="19" t="s">
        <v>935</v>
      </c>
      <c r="H1004" s="19"/>
      <c r="I1004" s="24" t="n">
        <f aca="false">IF(AND(ISNUMBER(B1004),ISNUMBER(D1004)),B1004*D1004,0)</f>
        <v>0</v>
      </c>
    </row>
    <row r="1005" customFormat="false" ht="15" hidden="false" customHeight="false" outlineLevel="0" collapsed="false">
      <c r="A1005" s="19" t="s">
        <v>1131</v>
      </c>
      <c r="B1005" s="22" t="n">
        <v>210</v>
      </c>
      <c r="C1005" s="19" t="n">
        <v>15</v>
      </c>
      <c r="D1005" s="23" t="n">
        <v>0.39</v>
      </c>
      <c r="E1005" s="19" t="s">
        <v>168</v>
      </c>
      <c r="F1005" s="19" t="s">
        <v>161</v>
      </c>
      <c r="G1005" s="19" t="s">
        <v>935</v>
      </c>
      <c r="H1005" s="19"/>
      <c r="I1005" s="24" t="n">
        <f aca="false">IF(AND(ISNUMBER(B1005),ISNUMBER(D1005)),B1005*D1005,0)</f>
        <v>81.9</v>
      </c>
    </row>
    <row r="1006" customFormat="false" ht="15" hidden="false" customHeight="false" outlineLevel="0" collapsed="false">
      <c r="A1006" s="19" t="s">
        <v>1132</v>
      </c>
      <c r="B1006" s="22" t="n">
        <v>210</v>
      </c>
      <c r="C1006" s="19" t="n">
        <v>17</v>
      </c>
      <c r="D1006" s="23" t="n">
        <v>0.37</v>
      </c>
      <c r="E1006" s="19" t="s">
        <v>135</v>
      </c>
      <c r="F1006" s="19" t="s">
        <v>161</v>
      </c>
      <c r="G1006" s="19" t="s">
        <v>935</v>
      </c>
      <c r="H1006" s="19"/>
      <c r="I1006" s="24" t="n">
        <f aca="false">IF(AND(ISNUMBER(B1006),ISNUMBER(D1006)),B1006*D1006,0)</f>
        <v>77.7</v>
      </c>
    </row>
    <row r="1007" customFormat="false" ht="15" hidden="false" customHeight="false" outlineLevel="0" collapsed="false">
      <c r="A1007" s="19" t="s">
        <v>1133</v>
      </c>
      <c r="B1007" s="22" t="n">
        <v>210</v>
      </c>
      <c r="C1007" s="19" t="n">
        <v>29</v>
      </c>
      <c r="D1007" s="23" t="n">
        <v>0.42</v>
      </c>
      <c r="E1007" s="19" t="s">
        <v>135</v>
      </c>
      <c r="F1007" s="19" t="s">
        <v>161</v>
      </c>
      <c r="G1007" s="19" t="s">
        <v>935</v>
      </c>
      <c r="H1007" s="19"/>
      <c r="I1007" s="24" t="n">
        <f aca="false">IF(AND(ISNUMBER(B1007),ISNUMBER(D1007)),B1007*D1007,0)</f>
        <v>88.2</v>
      </c>
    </row>
    <row r="1008" customFormat="false" ht="15" hidden="false" customHeight="false" outlineLevel="0" collapsed="false">
      <c r="A1008" s="19" t="s">
        <v>1134</v>
      </c>
      <c r="B1008" s="22" t="n">
        <v>210</v>
      </c>
      <c r="C1008" s="19" t="n">
        <v>18</v>
      </c>
      <c r="D1008" s="23" t="n">
        <v>0.72</v>
      </c>
      <c r="E1008" s="19" t="s">
        <v>135</v>
      </c>
      <c r="F1008" s="19" t="s">
        <v>161</v>
      </c>
      <c r="G1008" s="19" t="s">
        <v>935</v>
      </c>
      <c r="H1008" s="19"/>
      <c r="I1008" s="24" t="n">
        <f aca="false">IF(AND(ISNUMBER(B1008),ISNUMBER(D1008)),B1008*D1008,0)</f>
        <v>151.2</v>
      </c>
    </row>
    <row r="1009" customFormat="false" ht="15" hidden="false" customHeight="false" outlineLevel="0" collapsed="false">
      <c r="A1009" s="19" t="s">
        <v>1135</v>
      </c>
      <c r="B1009" s="22" t="n">
        <v>210</v>
      </c>
      <c r="C1009" s="19" t="n">
        <v>26</v>
      </c>
      <c r="D1009" s="23" t="n">
        <v>0.43</v>
      </c>
      <c r="E1009" s="19" t="s">
        <v>135</v>
      </c>
      <c r="F1009" s="19" t="s">
        <v>161</v>
      </c>
      <c r="G1009" s="19" t="s">
        <v>935</v>
      </c>
      <c r="H1009" s="19"/>
      <c r="I1009" s="24" t="n">
        <f aca="false">IF(AND(ISNUMBER(B1009),ISNUMBER(D1009)),B1009*D1009,0)</f>
        <v>90.3</v>
      </c>
    </row>
    <row r="1010" customFormat="false" ht="15" hidden="false" customHeight="false" outlineLevel="0" collapsed="false">
      <c r="A1010" s="19" t="s">
        <v>1136</v>
      </c>
      <c r="B1010" s="22" t="n">
        <v>210</v>
      </c>
      <c r="C1010" s="19" t="n">
        <v>15</v>
      </c>
      <c r="D1010" s="23" t="n">
        <v>1.07</v>
      </c>
      <c r="E1010" s="19" t="s">
        <v>135</v>
      </c>
      <c r="F1010" s="19" t="s">
        <v>161</v>
      </c>
      <c r="G1010" s="19" t="s">
        <v>935</v>
      </c>
      <c r="H1010" s="19"/>
      <c r="I1010" s="24" t="n">
        <f aca="false">IF(AND(ISNUMBER(B1010),ISNUMBER(D1010)),B1010*D1010,0)</f>
        <v>224.7</v>
      </c>
    </row>
    <row r="1011" customFormat="false" ht="15" hidden="false" customHeight="false" outlineLevel="0" collapsed="false">
      <c r="A1011" s="19" t="s">
        <v>1137</v>
      </c>
      <c r="B1011" s="22" t="n">
        <v>210</v>
      </c>
      <c r="C1011" s="19" t="n">
        <v>18</v>
      </c>
      <c r="D1011" s="23" t="n">
        <v>0</v>
      </c>
      <c r="E1011" s="19" t="s">
        <v>135</v>
      </c>
      <c r="F1011" s="19" t="s">
        <v>161</v>
      </c>
      <c r="G1011" s="19" t="s">
        <v>935</v>
      </c>
      <c r="H1011" s="19"/>
      <c r="I1011" s="24" t="n">
        <f aca="false">IF(AND(ISNUMBER(B1011),ISNUMBER(D1011)),B1011*D1011,0)</f>
        <v>0</v>
      </c>
    </row>
    <row r="1012" customFormat="false" ht="15" hidden="false" customHeight="false" outlineLevel="0" collapsed="false">
      <c r="A1012" s="19" t="s">
        <v>1138</v>
      </c>
      <c r="B1012" s="22" t="n">
        <v>210</v>
      </c>
      <c r="C1012" s="19" t="n">
        <v>21</v>
      </c>
      <c r="D1012" s="23" t="n">
        <v>0.37</v>
      </c>
      <c r="E1012" s="19" t="s">
        <v>135</v>
      </c>
      <c r="F1012" s="19" t="s">
        <v>161</v>
      </c>
      <c r="G1012" s="19" t="s">
        <v>935</v>
      </c>
      <c r="H1012" s="19"/>
      <c r="I1012" s="24" t="n">
        <f aca="false">IF(AND(ISNUMBER(B1012),ISNUMBER(D1012)),B1012*D1012,0)</f>
        <v>77.7</v>
      </c>
    </row>
    <row r="1013" customFormat="false" ht="15" hidden="false" customHeight="false" outlineLevel="0" collapsed="false">
      <c r="A1013" s="19" t="s">
        <v>1139</v>
      </c>
      <c r="B1013" s="22" t="n">
        <v>210</v>
      </c>
      <c r="C1013" s="19" t="n">
        <v>29</v>
      </c>
      <c r="D1013" s="23" t="n">
        <v>0.43</v>
      </c>
      <c r="E1013" s="19" t="s">
        <v>135</v>
      </c>
      <c r="F1013" s="19" t="s">
        <v>161</v>
      </c>
      <c r="G1013" s="19" t="s">
        <v>935</v>
      </c>
      <c r="H1013" s="19"/>
      <c r="I1013" s="24" t="n">
        <f aca="false">IF(AND(ISNUMBER(B1013),ISNUMBER(D1013)),B1013*D1013,0)</f>
        <v>90.3</v>
      </c>
    </row>
    <row r="1014" customFormat="false" ht="15" hidden="false" customHeight="false" outlineLevel="0" collapsed="false">
      <c r="A1014" s="19" t="s">
        <v>1140</v>
      </c>
      <c r="B1014" s="22" t="n">
        <v>210</v>
      </c>
      <c r="C1014" s="19" t="n">
        <v>17</v>
      </c>
      <c r="D1014" s="23" t="n">
        <v>0</v>
      </c>
      <c r="E1014" s="19" t="s">
        <v>135</v>
      </c>
      <c r="F1014" s="19" t="s">
        <v>161</v>
      </c>
      <c r="G1014" s="19" t="s">
        <v>935</v>
      </c>
      <c r="H1014" s="19"/>
      <c r="I1014" s="24" t="n">
        <f aca="false">IF(AND(ISNUMBER(B1014),ISNUMBER(D1014)),B1014*D1014,0)</f>
        <v>0</v>
      </c>
    </row>
    <row r="1015" customFormat="false" ht="15" hidden="false" customHeight="false" outlineLevel="0" collapsed="false">
      <c r="A1015" s="19" t="s">
        <v>1141</v>
      </c>
      <c r="B1015" s="22" t="n">
        <v>210</v>
      </c>
      <c r="C1015" s="19" t="n">
        <v>18</v>
      </c>
      <c r="D1015" s="23" t="n">
        <v>0.37</v>
      </c>
      <c r="E1015" s="19" t="s">
        <v>135</v>
      </c>
      <c r="F1015" s="19" t="s">
        <v>161</v>
      </c>
      <c r="G1015" s="19" t="s">
        <v>935</v>
      </c>
      <c r="H1015" s="19"/>
      <c r="I1015" s="24" t="n">
        <f aca="false">IF(AND(ISNUMBER(B1015),ISNUMBER(D1015)),B1015*D1015,0)</f>
        <v>77.7</v>
      </c>
    </row>
    <row r="1016" customFormat="false" ht="15" hidden="false" customHeight="false" outlineLevel="0" collapsed="false">
      <c r="A1016" s="19" t="s">
        <v>1142</v>
      </c>
      <c r="B1016" s="22" t="n">
        <v>210</v>
      </c>
      <c r="C1016" s="19" t="n">
        <v>24</v>
      </c>
      <c r="D1016" s="23" t="n">
        <v>0</v>
      </c>
      <c r="E1016" s="19" t="s">
        <v>135</v>
      </c>
      <c r="F1016" s="19" t="s">
        <v>161</v>
      </c>
      <c r="G1016" s="19" t="s">
        <v>935</v>
      </c>
      <c r="H1016" s="19"/>
      <c r="I1016" s="24" t="n">
        <f aca="false">IF(AND(ISNUMBER(B1016),ISNUMBER(D1016)),B1016*D1016,0)</f>
        <v>0</v>
      </c>
    </row>
    <row r="1017" customFormat="false" ht="15" hidden="false" customHeight="false" outlineLevel="0" collapsed="false">
      <c r="A1017" s="19" t="s">
        <v>1143</v>
      </c>
      <c r="B1017" s="22" t="n">
        <v>210</v>
      </c>
      <c r="C1017" s="19" t="n">
        <v>13</v>
      </c>
      <c r="D1017" s="23" t="n">
        <v>0</v>
      </c>
      <c r="E1017" s="19" t="s">
        <v>135</v>
      </c>
      <c r="F1017" s="19" t="s">
        <v>161</v>
      </c>
      <c r="G1017" s="19" t="s">
        <v>935</v>
      </c>
      <c r="H1017" s="19"/>
      <c r="I1017" s="24" t="n">
        <f aca="false">IF(AND(ISNUMBER(B1017),ISNUMBER(D1017)),B1017*D1017,0)</f>
        <v>0</v>
      </c>
    </row>
    <row r="1018" customFormat="false" ht="15" hidden="false" customHeight="false" outlineLevel="0" collapsed="false">
      <c r="A1018" s="19" t="s">
        <v>1144</v>
      </c>
      <c r="B1018" s="22" t="n">
        <v>210</v>
      </c>
      <c r="C1018" s="19" t="n">
        <v>10</v>
      </c>
      <c r="D1018" s="23" t="n">
        <v>0.84</v>
      </c>
      <c r="E1018" s="19" t="s">
        <v>135</v>
      </c>
      <c r="F1018" s="19" t="s">
        <v>161</v>
      </c>
      <c r="G1018" s="19" t="s">
        <v>935</v>
      </c>
      <c r="H1018" s="19"/>
      <c r="I1018" s="24" t="n">
        <f aca="false">IF(AND(ISNUMBER(B1018),ISNUMBER(D1018)),B1018*D1018,0)</f>
        <v>176.4</v>
      </c>
    </row>
    <row r="1019" customFormat="false" ht="15" hidden="false" customHeight="false" outlineLevel="0" collapsed="false">
      <c r="A1019" s="19" t="s">
        <v>1145</v>
      </c>
      <c r="B1019" s="22" t="n">
        <v>210</v>
      </c>
      <c r="C1019" s="19" t="n">
        <v>14</v>
      </c>
      <c r="D1019" s="23" t="n">
        <v>0.44</v>
      </c>
      <c r="E1019" s="19" t="s">
        <v>135</v>
      </c>
      <c r="F1019" s="19" t="s">
        <v>161</v>
      </c>
      <c r="G1019" s="19" t="s">
        <v>935</v>
      </c>
      <c r="H1019" s="19"/>
      <c r="I1019" s="24" t="n">
        <f aca="false">IF(AND(ISNUMBER(B1019),ISNUMBER(D1019)),B1019*D1019,0)</f>
        <v>92.4</v>
      </c>
    </row>
    <row r="1020" customFormat="false" ht="15" hidden="false" customHeight="false" outlineLevel="0" collapsed="false">
      <c r="A1020" s="19" t="s">
        <v>1146</v>
      </c>
      <c r="B1020" s="22" t="n">
        <v>210</v>
      </c>
      <c r="C1020" s="19" t="n">
        <v>12</v>
      </c>
      <c r="D1020" s="23" t="n">
        <v>0.56</v>
      </c>
      <c r="E1020" s="19" t="s">
        <v>135</v>
      </c>
      <c r="F1020" s="19" t="s">
        <v>161</v>
      </c>
      <c r="G1020" s="19" t="s">
        <v>935</v>
      </c>
      <c r="H1020" s="19"/>
      <c r="I1020" s="24" t="n">
        <f aca="false">IF(AND(ISNUMBER(B1020),ISNUMBER(D1020)),B1020*D1020,0)</f>
        <v>117.6</v>
      </c>
    </row>
    <row r="1021" customFormat="false" ht="15" hidden="false" customHeight="false" outlineLevel="0" collapsed="false">
      <c r="A1021" s="19" t="s">
        <v>1147</v>
      </c>
      <c r="B1021" s="22" t="n">
        <v>210</v>
      </c>
      <c r="C1021" s="19" t="n">
        <v>8</v>
      </c>
      <c r="D1021" s="23" t="n">
        <v>0</v>
      </c>
      <c r="E1021" s="19" t="s">
        <v>135</v>
      </c>
      <c r="F1021" s="19" t="s">
        <v>161</v>
      </c>
      <c r="G1021" s="19" t="s">
        <v>935</v>
      </c>
      <c r="H1021" s="19"/>
      <c r="I1021" s="24" t="n">
        <f aca="false">IF(AND(ISNUMBER(B1021),ISNUMBER(D1021)),B1021*D1021,0)</f>
        <v>0</v>
      </c>
    </row>
    <row r="1022" customFormat="false" ht="15" hidden="false" customHeight="false" outlineLevel="0" collapsed="false">
      <c r="A1022" s="19" t="s">
        <v>1148</v>
      </c>
      <c r="B1022" s="22" t="n">
        <v>210</v>
      </c>
      <c r="C1022" s="19" t="n">
        <v>18</v>
      </c>
      <c r="D1022" s="23" t="n">
        <v>0.39</v>
      </c>
      <c r="E1022" s="19" t="s">
        <v>135</v>
      </c>
      <c r="F1022" s="19" t="s">
        <v>161</v>
      </c>
      <c r="G1022" s="19" t="s">
        <v>935</v>
      </c>
      <c r="H1022" s="19"/>
      <c r="I1022" s="24" t="n">
        <f aca="false">IF(AND(ISNUMBER(B1022),ISNUMBER(D1022)),B1022*D1022,0)</f>
        <v>81.9</v>
      </c>
    </row>
    <row r="1023" customFormat="false" ht="15" hidden="false" customHeight="false" outlineLevel="0" collapsed="false">
      <c r="A1023" s="19" t="s">
        <v>1149</v>
      </c>
      <c r="B1023" s="22" t="n">
        <v>210</v>
      </c>
      <c r="C1023" s="19" t="n">
        <v>20</v>
      </c>
      <c r="D1023" s="23" t="n">
        <v>0</v>
      </c>
      <c r="E1023" s="19" t="s">
        <v>135</v>
      </c>
      <c r="F1023" s="19" t="s">
        <v>161</v>
      </c>
      <c r="G1023" s="19" t="s">
        <v>935</v>
      </c>
      <c r="H1023" s="19"/>
      <c r="I1023" s="24" t="n">
        <f aca="false">IF(AND(ISNUMBER(B1023),ISNUMBER(D1023)),B1023*D1023,0)</f>
        <v>0</v>
      </c>
    </row>
    <row r="1024" customFormat="false" ht="15" hidden="false" customHeight="false" outlineLevel="0" collapsed="false">
      <c r="A1024" s="19" t="s">
        <v>1150</v>
      </c>
      <c r="B1024" s="22" t="n">
        <v>210</v>
      </c>
      <c r="C1024" s="19" t="n">
        <v>11</v>
      </c>
      <c r="D1024" s="23" t="n">
        <v>0</v>
      </c>
      <c r="E1024" s="19" t="s">
        <v>135</v>
      </c>
      <c r="F1024" s="19" t="s">
        <v>161</v>
      </c>
      <c r="G1024" s="19" t="s">
        <v>935</v>
      </c>
      <c r="H1024" s="19"/>
      <c r="I1024" s="24" t="n">
        <f aca="false">IF(AND(ISNUMBER(B1024),ISNUMBER(D1024)),B1024*D1024,0)</f>
        <v>0</v>
      </c>
    </row>
    <row r="1025" customFormat="false" ht="15" hidden="false" customHeight="false" outlineLevel="0" collapsed="false">
      <c r="A1025" s="19" t="s">
        <v>1151</v>
      </c>
      <c r="B1025" s="22" t="n">
        <v>210</v>
      </c>
      <c r="C1025" s="19" t="n">
        <v>10</v>
      </c>
      <c r="D1025" s="23" t="n">
        <v>0</v>
      </c>
      <c r="E1025" s="19" t="s">
        <v>135</v>
      </c>
      <c r="F1025" s="19" t="s">
        <v>161</v>
      </c>
      <c r="G1025" s="19" t="s">
        <v>935</v>
      </c>
      <c r="H1025" s="19"/>
      <c r="I1025" s="24" t="n">
        <f aca="false">IF(AND(ISNUMBER(B1025),ISNUMBER(D1025)),B1025*D1025,0)</f>
        <v>0</v>
      </c>
    </row>
    <row r="1026" customFormat="false" ht="15" hidden="false" customHeight="false" outlineLevel="0" collapsed="false">
      <c r="A1026" s="19" t="s">
        <v>1152</v>
      </c>
      <c r="B1026" s="22" t="n">
        <v>210</v>
      </c>
      <c r="C1026" s="19" t="n">
        <v>13</v>
      </c>
      <c r="D1026" s="23" t="n">
        <v>0</v>
      </c>
      <c r="E1026" s="19" t="s">
        <v>135</v>
      </c>
      <c r="F1026" s="19" t="s">
        <v>161</v>
      </c>
      <c r="G1026" s="19" t="s">
        <v>935</v>
      </c>
      <c r="H1026" s="19"/>
      <c r="I1026" s="24" t="n">
        <f aca="false">IF(AND(ISNUMBER(B1026),ISNUMBER(D1026)),B1026*D1026,0)</f>
        <v>0</v>
      </c>
    </row>
    <row r="1027" customFormat="false" ht="15" hidden="false" customHeight="false" outlineLevel="0" collapsed="false">
      <c r="A1027" s="19" t="s">
        <v>1153</v>
      </c>
      <c r="B1027" s="22" t="n">
        <v>210</v>
      </c>
      <c r="C1027" s="19" t="n">
        <v>29</v>
      </c>
      <c r="D1027" s="23" t="n">
        <v>0</v>
      </c>
      <c r="E1027" s="19" t="s">
        <v>135</v>
      </c>
      <c r="F1027" s="19" t="s">
        <v>161</v>
      </c>
      <c r="G1027" s="19" t="s">
        <v>935</v>
      </c>
      <c r="H1027" s="19"/>
      <c r="I1027" s="24" t="n">
        <f aca="false">IF(AND(ISNUMBER(B1027),ISNUMBER(D1027)),B1027*D1027,0)</f>
        <v>0</v>
      </c>
    </row>
    <row r="1028" customFormat="false" ht="15" hidden="false" customHeight="false" outlineLevel="0" collapsed="false">
      <c r="A1028" s="19" t="s">
        <v>1154</v>
      </c>
      <c r="B1028" s="22" t="n">
        <v>210</v>
      </c>
      <c r="C1028" s="19" t="n">
        <v>10</v>
      </c>
      <c r="D1028" s="23" t="n">
        <v>0</v>
      </c>
      <c r="E1028" s="19" t="s">
        <v>135</v>
      </c>
      <c r="F1028" s="19" t="s">
        <v>161</v>
      </c>
      <c r="G1028" s="19" t="s">
        <v>935</v>
      </c>
      <c r="H1028" s="19"/>
      <c r="I1028" s="24" t="n">
        <f aca="false">IF(AND(ISNUMBER(B1028),ISNUMBER(D1028)),B1028*D1028,0)</f>
        <v>0</v>
      </c>
    </row>
    <row r="1029" customFormat="false" ht="15" hidden="false" customHeight="false" outlineLevel="0" collapsed="false">
      <c r="A1029" s="19" t="s">
        <v>1155</v>
      </c>
      <c r="B1029" s="22" t="n">
        <v>210</v>
      </c>
      <c r="C1029" s="19" t="n">
        <v>17</v>
      </c>
      <c r="D1029" s="23" t="n">
        <v>0.52</v>
      </c>
      <c r="E1029" s="19" t="s">
        <v>135</v>
      </c>
      <c r="F1029" s="19" t="s">
        <v>140</v>
      </c>
      <c r="G1029" s="19" t="s">
        <v>935</v>
      </c>
      <c r="H1029" s="19"/>
      <c r="I1029" s="24" t="n">
        <f aca="false">IF(AND(ISNUMBER(B1029),ISNUMBER(D1029)),B1029*D1029,0)</f>
        <v>109.2</v>
      </c>
    </row>
    <row r="1030" customFormat="false" ht="15" hidden="false" customHeight="false" outlineLevel="0" collapsed="false">
      <c r="A1030" s="19" t="s">
        <v>1156</v>
      </c>
      <c r="B1030" s="22" t="n">
        <v>210</v>
      </c>
      <c r="C1030" s="19" t="n">
        <v>29</v>
      </c>
      <c r="D1030" s="23" t="n">
        <v>0.79</v>
      </c>
      <c r="E1030" s="19" t="s">
        <v>135</v>
      </c>
      <c r="F1030" s="19" t="s">
        <v>140</v>
      </c>
      <c r="G1030" s="19" t="s">
        <v>935</v>
      </c>
      <c r="H1030" s="19"/>
      <c r="I1030" s="24" t="n">
        <f aca="false">IF(AND(ISNUMBER(B1030),ISNUMBER(D1030)),B1030*D1030,0)</f>
        <v>165.9</v>
      </c>
    </row>
    <row r="1031" customFormat="false" ht="15" hidden="false" customHeight="false" outlineLevel="0" collapsed="false">
      <c r="A1031" s="19" t="s">
        <v>1157</v>
      </c>
      <c r="B1031" s="22" t="n">
        <v>210</v>
      </c>
      <c r="C1031" s="19" t="n">
        <v>12</v>
      </c>
      <c r="D1031" s="23" t="n">
        <v>0.58</v>
      </c>
      <c r="E1031" s="19" t="s">
        <v>135</v>
      </c>
      <c r="F1031" s="19" t="s">
        <v>136</v>
      </c>
      <c r="G1031" s="19" t="s">
        <v>935</v>
      </c>
      <c r="H1031" s="19"/>
      <c r="I1031" s="24" t="n">
        <f aca="false">IF(AND(ISNUMBER(B1031),ISNUMBER(D1031)),B1031*D1031,0)</f>
        <v>121.8</v>
      </c>
    </row>
    <row r="1032" customFormat="false" ht="15" hidden="false" customHeight="false" outlineLevel="0" collapsed="false">
      <c r="A1032" s="19" t="s">
        <v>1158</v>
      </c>
      <c r="B1032" s="22" t="n">
        <v>210</v>
      </c>
      <c r="C1032" s="19" t="n">
        <v>10</v>
      </c>
      <c r="D1032" s="23" t="n">
        <v>0.68</v>
      </c>
      <c r="E1032" s="19" t="s">
        <v>135</v>
      </c>
      <c r="F1032" s="19" t="s">
        <v>136</v>
      </c>
      <c r="G1032" s="19" t="s">
        <v>935</v>
      </c>
      <c r="H1032" s="19"/>
      <c r="I1032" s="24" t="n">
        <f aca="false">IF(AND(ISNUMBER(B1032),ISNUMBER(D1032)),B1032*D1032,0)</f>
        <v>142.8</v>
      </c>
    </row>
    <row r="1033" customFormat="false" ht="15" hidden="false" customHeight="false" outlineLevel="0" collapsed="false">
      <c r="A1033" s="19" t="s">
        <v>1159</v>
      </c>
      <c r="B1033" s="22" t="n">
        <v>210</v>
      </c>
      <c r="C1033" s="19" t="n">
        <v>26</v>
      </c>
      <c r="D1033" s="23" t="n">
        <v>0.32</v>
      </c>
      <c r="E1033" s="19" t="s">
        <v>135</v>
      </c>
      <c r="F1033" s="19" t="s">
        <v>136</v>
      </c>
      <c r="G1033" s="19" t="s">
        <v>935</v>
      </c>
      <c r="H1033" s="19"/>
      <c r="I1033" s="24" t="n">
        <f aca="false">IF(AND(ISNUMBER(B1033),ISNUMBER(D1033)),B1033*D1033,0)</f>
        <v>67.2</v>
      </c>
    </row>
    <row r="1034" customFormat="false" ht="15" hidden="false" customHeight="false" outlineLevel="0" collapsed="false">
      <c r="A1034" s="19" t="s">
        <v>1160</v>
      </c>
      <c r="B1034" s="22" t="n">
        <v>210</v>
      </c>
      <c r="C1034" s="19" t="n">
        <v>13</v>
      </c>
      <c r="D1034" s="23" t="n">
        <v>0.39</v>
      </c>
      <c r="E1034" s="19" t="s">
        <v>135</v>
      </c>
      <c r="F1034" s="19" t="s">
        <v>136</v>
      </c>
      <c r="G1034" s="19" t="s">
        <v>935</v>
      </c>
      <c r="H1034" s="19"/>
      <c r="I1034" s="24" t="n">
        <f aca="false">IF(AND(ISNUMBER(B1034),ISNUMBER(D1034)),B1034*D1034,0)</f>
        <v>81.9</v>
      </c>
    </row>
    <row r="1035" customFormat="false" ht="15" hidden="false" customHeight="false" outlineLevel="0" collapsed="false">
      <c r="A1035" s="19" t="s">
        <v>1161</v>
      </c>
      <c r="B1035" s="22" t="n">
        <v>210</v>
      </c>
      <c r="C1035" s="19" t="n">
        <v>9</v>
      </c>
      <c r="D1035" s="23" t="n">
        <v>1.88</v>
      </c>
      <c r="E1035" s="19" t="s">
        <v>135</v>
      </c>
      <c r="F1035" s="19" t="s">
        <v>136</v>
      </c>
      <c r="G1035" s="19" t="s">
        <v>935</v>
      </c>
      <c r="H1035" s="19"/>
      <c r="I1035" s="24" t="n">
        <f aca="false">IF(AND(ISNUMBER(B1035),ISNUMBER(D1035)),B1035*D1035,0)</f>
        <v>394.8</v>
      </c>
    </row>
    <row r="1036" customFormat="false" ht="15" hidden="false" customHeight="false" outlineLevel="0" collapsed="false">
      <c r="A1036" s="19" t="s">
        <v>1162</v>
      </c>
      <c r="B1036" s="22" t="n">
        <v>210</v>
      </c>
      <c r="C1036" s="19" t="n">
        <v>17</v>
      </c>
      <c r="D1036" s="23" t="n">
        <v>1.88</v>
      </c>
      <c r="E1036" s="19" t="s">
        <v>135</v>
      </c>
      <c r="F1036" s="19" t="s">
        <v>136</v>
      </c>
      <c r="G1036" s="19" t="s">
        <v>935</v>
      </c>
      <c r="H1036" s="19"/>
      <c r="I1036" s="24" t="n">
        <f aca="false">IF(AND(ISNUMBER(B1036),ISNUMBER(D1036)),B1036*D1036,0)</f>
        <v>394.8</v>
      </c>
    </row>
    <row r="1037" customFormat="false" ht="15" hidden="false" customHeight="false" outlineLevel="0" collapsed="false">
      <c r="A1037" s="19" t="s">
        <v>1163</v>
      </c>
      <c r="B1037" s="22" t="n">
        <v>210</v>
      </c>
      <c r="C1037" s="19" t="n">
        <v>26</v>
      </c>
      <c r="D1037" s="23" t="n">
        <v>2.77</v>
      </c>
      <c r="E1037" s="19" t="s">
        <v>135</v>
      </c>
      <c r="F1037" s="19" t="s">
        <v>136</v>
      </c>
      <c r="G1037" s="19" t="s">
        <v>935</v>
      </c>
      <c r="H1037" s="19"/>
      <c r="I1037" s="24" t="n">
        <f aca="false">IF(AND(ISNUMBER(B1037),ISNUMBER(D1037)),B1037*D1037,0)</f>
        <v>581.7</v>
      </c>
    </row>
    <row r="1038" customFormat="false" ht="15" hidden="false" customHeight="false" outlineLevel="0" collapsed="false">
      <c r="A1038" s="19" t="s">
        <v>1164</v>
      </c>
      <c r="B1038" s="22" t="n">
        <v>210</v>
      </c>
      <c r="C1038" s="19" t="n">
        <v>23</v>
      </c>
      <c r="D1038" s="23" t="n">
        <v>2.77</v>
      </c>
      <c r="E1038" s="19" t="s">
        <v>135</v>
      </c>
      <c r="F1038" s="19" t="s">
        <v>136</v>
      </c>
      <c r="G1038" s="19" t="s">
        <v>935</v>
      </c>
      <c r="H1038" s="19"/>
      <c r="I1038" s="24" t="n">
        <f aca="false">IF(AND(ISNUMBER(B1038),ISNUMBER(D1038)),B1038*D1038,0)</f>
        <v>581.7</v>
      </c>
    </row>
    <row r="1039" customFormat="false" ht="15" hidden="false" customHeight="false" outlineLevel="0" collapsed="false">
      <c r="A1039" s="19" t="s">
        <v>1165</v>
      </c>
      <c r="B1039" s="22" t="n">
        <v>210</v>
      </c>
      <c r="C1039" s="19" t="n">
        <v>7</v>
      </c>
      <c r="D1039" s="23" t="n">
        <v>0</v>
      </c>
      <c r="E1039" s="19" t="s">
        <v>135</v>
      </c>
      <c r="F1039" s="19" t="s">
        <v>136</v>
      </c>
      <c r="G1039" s="19" t="s">
        <v>935</v>
      </c>
      <c r="H1039" s="19"/>
      <c r="I1039" s="24" t="n">
        <f aca="false">IF(AND(ISNUMBER(B1039),ISNUMBER(D1039)),B1039*D1039,0)</f>
        <v>0</v>
      </c>
    </row>
    <row r="1040" customFormat="false" ht="15" hidden="false" customHeight="false" outlineLevel="0" collapsed="false">
      <c r="A1040" s="19" t="s">
        <v>1166</v>
      </c>
      <c r="B1040" s="22" t="n">
        <v>210</v>
      </c>
      <c r="C1040" s="19" t="n">
        <v>17</v>
      </c>
      <c r="D1040" s="23" t="n">
        <v>0</v>
      </c>
      <c r="E1040" s="19" t="s">
        <v>135</v>
      </c>
      <c r="F1040" s="19" t="s">
        <v>136</v>
      </c>
      <c r="G1040" s="19" t="s">
        <v>935</v>
      </c>
      <c r="H1040" s="19"/>
      <c r="I1040" s="24" t="n">
        <f aca="false">IF(AND(ISNUMBER(B1040),ISNUMBER(D1040)),B1040*D1040,0)</f>
        <v>0</v>
      </c>
    </row>
    <row r="1041" customFormat="false" ht="15" hidden="false" customHeight="false" outlineLevel="0" collapsed="false">
      <c r="A1041" s="19" t="s">
        <v>1167</v>
      </c>
      <c r="B1041" s="22" t="n">
        <v>210</v>
      </c>
      <c r="C1041" s="19" t="n">
        <v>21</v>
      </c>
      <c r="D1041" s="23" t="n">
        <v>1.15</v>
      </c>
      <c r="E1041" s="19" t="s">
        <v>135</v>
      </c>
      <c r="F1041" s="19" t="s">
        <v>136</v>
      </c>
      <c r="G1041" s="19" t="s">
        <v>935</v>
      </c>
      <c r="H1041" s="19"/>
      <c r="I1041" s="24" t="n">
        <f aca="false">IF(AND(ISNUMBER(B1041),ISNUMBER(D1041)),B1041*D1041,0)</f>
        <v>241.5</v>
      </c>
    </row>
    <row r="1042" customFormat="false" ht="15" hidden="false" customHeight="false" outlineLevel="0" collapsed="false">
      <c r="A1042" s="19" t="s">
        <v>1168</v>
      </c>
      <c r="B1042" s="22" t="n">
        <v>210</v>
      </c>
      <c r="C1042" s="19" t="n">
        <v>9</v>
      </c>
      <c r="D1042" s="23" t="n">
        <v>0</v>
      </c>
      <c r="E1042" s="19" t="s">
        <v>135</v>
      </c>
      <c r="F1042" s="19" t="s">
        <v>136</v>
      </c>
      <c r="G1042" s="19" t="s">
        <v>935</v>
      </c>
      <c r="H1042" s="19"/>
      <c r="I1042" s="24" t="n">
        <f aca="false">IF(AND(ISNUMBER(B1042),ISNUMBER(D1042)),B1042*D1042,0)</f>
        <v>0</v>
      </c>
    </row>
    <row r="1043" customFormat="false" ht="15" hidden="false" customHeight="false" outlineLevel="0" collapsed="false">
      <c r="A1043" s="19" t="s">
        <v>1169</v>
      </c>
      <c r="B1043" s="22" t="n">
        <v>210</v>
      </c>
      <c r="C1043" s="19" t="n">
        <v>10</v>
      </c>
      <c r="D1043" s="23" t="n">
        <v>0.45</v>
      </c>
      <c r="E1043" s="19" t="s">
        <v>135</v>
      </c>
      <c r="F1043" s="19" t="s">
        <v>136</v>
      </c>
      <c r="G1043" s="19" t="s">
        <v>935</v>
      </c>
      <c r="H1043" s="19"/>
      <c r="I1043" s="24" t="n">
        <f aca="false">IF(AND(ISNUMBER(B1043),ISNUMBER(D1043)),B1043*D1043,0)</f>
        <v>94.5</v>
      </c>
    </row>
    <row r="1044" customFormat="false" ht="15" hidden="false" customHeight="false" outlineLevel="0" collapsed="false">
      <c r="A1044" s="19" t="s">
        <v>1170</v>
      </c>
      <c r="B1044" s="22" t="n">
        <v>210</v>
      </c>
      <c r="C1044" s="19" t="n">
        <v>17</v>
      </c>
      <c r="D1044" s="23" t="n">
        <v>0</v>
      </c>
      <c r="E1044" s="19" t="s">
        <v>135</v>
      </c>
      <c r="F1044" s="19" t="s">
        <v>136</v>
      </c>
      <c r="G1044" s="19" t="s">
        <v>935</v>
      </c>
      <c r="H1044" s="19"/>
      <c r="I1044" s="24" t="n">
        <f aca="false">IF(AND(ISNUMBER(B1044),ISNUMBER(D1044)),B1044*D1044,0)</f>
        <v>0</v>
      </c>
    </row>
    <row r="1045" customFormat="false" ht="15" hidden="false" customHeight="false" outlineLevel="0" collapsed="false">
      <c r="A1045" s="19" t="s">
        <v>1171</v>
      </c>
      <c r="B1045" s="22" t="n">
        <v>210</v>
      </c>
      <c r="C1045" s="19" t="n">
        <v>15</v>
      </c>
      <c r="D1045" s="23" t="n">
        <v>0</v>
      </c>
      <c r="E1045" s="19" t="s">
        <v>135</v>
      </c>
      <c r="F1045" s="19" t="s">
        <v>136</v>
      </c>
      <c r="G1045" s="19" t="s">
        <v>935</v>
      </c>
      <c r="H1045" s="19"/>
      <c r="I1045" s="24" t="n">
        <f aca="false">IF(AND(ISNUMBER(B1045),ISNUMBER(D1045)),B1045*D1045,0)</f>
        <v>0</v>
      </c>
    </row>
    <row r="1046" customFormat="false" ht="15" hidden="false" customHeight="false" outlineLevel="0" collapsed="false">
      <c r="A1046" s="19" t="s">
        <v>1172</v>
      </c>
      <c r="B1046" s="22" t="n">
        <v>210</v>
      </c>
      <c r="C1046" s="19" t="n">
        <v>10</v>
      </c>
      <c r="D1046" s="23" t="n">
        <v>0.3</v>
      </c>
      <c r="E1046" s="19" t="s">
        <v>135</v>
      </c>
      <c r="F1046" s="19" t="s">
        <v>136</v>
      </c>
      <c r="G1046" s="19" t="s">
        <v>935</v>
      </c>
      <c r="H1046" s="19"/>
      <c r="I1046" s="24" t="n">
        <f aca="false">IF(AND(ISNUMBER(B1046),ISNUMBER(D1046)),B1046*D1046,0)</f>
        <v>63</v>
      </c>
    </row>
    <row r="1047" customFormat="false" ht="15" hidden="false" customHeight="false" outlineLevel="0" collapsed="false">
      <c r="A1047" s="19" t="s">
        <v>1173</v>
      </c>
      <c r="B1047" s="22" t="n">
        <v>210</v>
      </c>
      <c r="C1047" s="19" t="n">
        <v>16</v>
      </c>
      <c r="D1047" s="23" t="n">
        <v>0.79</v>
      </c>
      <c r="E1047" s="19" t="s">
        <v>135</v>
      </c>
      <c r="F1047" s="19" t="s">
        <v>136</v>
      </c>
      <c r="G1047" s="19" t="s">
        <v>935</v>
      </c>
      <c r="H1047" s="19"/>
      <c r="I1047" s="24" t="n">
        <f aca="false">IF(AND(ISNUMBER(B1047),ISNUMBER(D1047)),B1047*D1047,0)</f>
        <v>165.9</v>
      </c>
    </row>
    <row r="1048" customFormat="false" ht="15" hidden="false" customHeight="false" outlineLevel="0" collapsed="false">
      <c r="A1048" s="19" t="s">
        <v>1174</v>
      </c>
      <c r="B1048" s="22" t="n">
        <v>170</v>
      </c>
      <c r="C1048" s="19" t="n">
        <v>24</v>
      </c>
      <c r="D1048" s="23" t="n">
        <v>0.83</v>
      </c>
      <c r="E1048" s="19" t="s">
        <v>168</v>
      </c>
      <c r="F1048" s="19" t="s">
        <v>140</v>
      </c>
      <c r="G1048" s="19" t="s">
        <v>935</v>
      </c>
      <c r="H1048" s="19"/>
      <c r="I1048" s="24" t="n">
        <f aca="false">IF(AND(ISNUMBER(B1048),ISNUMBER(D1048)),B1048*D1048,0)</f>
        <v>141.1</v>
      </c>
    </row>
    <row r="1049" customFormat="false" ht="15" hidden="false" customHeight="false" outlineLevel="0" collapsed="false">
      <c r="A1049" s="19" t="s">
        <v>1175</v>
      </c>
      <c r="B1049" s="22" t="n">
        <v>170</v>
      </c>
      <c r="C1049" s="19" t="n">
        <v>27</v>
      </c>
      <c r="D1049" s="23" t="n">
        <v>0.61</v>
      </c>
      <c r="E1049" s="19" t="s">
        <v>168</v>
      </c>
      <c r="F1049" s="19" t="s">
        <v>140</v>
      </c>
      <c r="G1049" s="19" t="s">
        <v>935</v>
      </c>
      <c r="H1049" s="19"/>
      <c r="I1049" s="24" t="n">
        <f aca="false">IF(AND(ISNUMBER(B1049),ISNUMBER(D1049)),B1049*D1049,0)</f>
        <v>103.7</v>
      </c>
    </row>
    <row r="1050" customFormat="false" ht="15" hidden="false" customHeight="false" outlineLevel="0" collapsed="false">
      <c r="A1050" s="19" t="s">
        <v>1176</v>
      </c>
      <c r="B1050" s="22" t="n">
        <v>170</v>
      </c>
      <c r="C1050" s="19" t="n">
        <v>27</v>
      </c>
      <c r="D1050" s="23" t="n">
        <v>0.73</v>
      </c>
      <c r="E1050" s="19" t="s">
        <v>185</v>
      </c>
      <c r="F1050" s="19" t="s">
        <v>140</v>
      </c>
      <c r="G1050" s="19" t="s">
        <v>935</v>
      </c>
      <c r="H1050" s="19"/>
      <c r="I1050" s="24" t="n">
        <f aca="false">IF(AND(ISNUMBER(B1050),ISNUMBER(D1050)),B1050*D1050,0)</f>
        <v>124.1</v>
      </c>
    </row>
    <row r="1051" customFormat="false" ht="15" hidden="false" customHeight="false" outlineLevel="0" collapsed="false">
      <c r="A1051" s="19" t="s">
        <v>1177</v>
      </c>
      <c r="B1051" s="22" t="n">
        <v>170</v>
      </c>
      <c r="C1051" s="19" t="n">
        <v>16</v>
      </c>
      <c r="D1051" s="23" t="n">
        <v>0.63</v>
      </c>
      <c r="E1051" s="19" t="s">
        <v>135</v>
      </c>
      <c r="F1051" s="19" t="s">
        <v>140</v>
      </c>
      <c r="G1051" s="19" t="s">
        <v>935</v>
      </c>
      <c r="H1051" s="19"/>
      <c r="I1051" s="24" t="n">
        <f aca="false">IF(AND(ISNUMBER(B1051),ISNUMBER(D1051)),B1051*D1051,0)</f>
        <v>107.1</v>
      </c>
    </row>
    <row r="1052" customFormat="false" ht="15" hidden="false" customHeight="false" outlineLevel="0" collapsed="false">
      <c r="A1052" s="19" t="s">
        <v>1178</v>
      </c>
      <c r="B1052" s="22" t="n">
        <v>170</v>
      </c>
      <c r="C1052" s="19" t="n">
        <v>18</v>
      </c>
      <c r="D1052" s="23" t="n">
        <v>0.39</v>
      </c>
      <c r="E1052" s="19" t="s">
        <v>135</v>
      </c>
      <c r="F1052" s="19" t="s">
        <v>140</v>
      </c>
      <c r="G1052" s="19" t="s">
        <v>935</v>
      </c>
      <c r="H1052" s="19"/>
      <c r="I1052" s="24" t="n">
        <f aca="false">IF(AND(ISNUMBER(B1052),ISNUMBER(D1052)),B1052*D1052,0)</f>
        <v>66.3</v>
      </c>
    </row>
    <row r="1053" customFormat="false" ht="15" hidden="false" customHeight="false" outlineLevel="0" collapsed="false">
      <c r="A1053" s="19" t="s">
        <v>1179</v>
      </c>
      <c r="B1053" s="22" t="n">
        <v>170</v>
      </c>
      <c r="C1053" s="19" t="n">
        <v>19</v>
      </c>
      <c r="D1053" s="23" t="n">
        <v>1.28</v>
      </c>
      <c r="E1053" s="19" t="s">
        <v>135</v>
      </c>
      <c r="F1053" s="19" t="s">
        <v>140</v>
      </c>
      <c r="G1053" s="19" t="s">
        <v>935</v>
      </c>
      <c r="H1053" s="19"/>
      <c r="I1053" s="24" t="n">
        <f aca="false">IF(AND(ISNUMBER(B1053),ISNUMBER(D1053)),B1053*D1053,0)</f>
        <v>217.6</v>
      </c>
    </row>
    <row r="1054" customFormat="false" ht="15" hidden="false" customHeight="false" outlineLevel="0" collapsed="false">
      <c r="A1054" s="19" t="s">
        <v>1180</v>
      </c>
      <c r="B1054" s="22" t="n">
        <v>170</v>
      </c>
      <c r="C1054" s="19" t="n">
        <v>18</v>
      </c>
      <c r="D1054" s="23" t="n">
        <v>0.5</v>
      </c>
      <c r="E1054" s="19" t="s">
        <v>135</v>
      </c>
      <c r="F1054" s="19" t="s">
        <v>140</v>
      </c>
      <c r="G1054" s="19" t="s">
        <v>935</v>
      </c>
      <c r="H1054" s="19"/>
      <c r="I1054" s="24" t="n">
        <f aca="false">IF(AND(ISNUMBER(B1054),ISNUMBER(D1054)),B1054*D1054,0)</f>
        <v>85</v>
      </c>
    </row>
    <row r="1055" customFormat="false" ht="15" hidden="false" customHeight="false" outlineLevel="0" collapsed="false">
      <c r="A1055" s="19" t="s">
        <v>1181</v>
      </c>
      <c r="B1055" s="22" t="n">
        <v>170</v>
      </c>
      <c r="C1055" s="19" t="n">
        <v>15</v>
      </c>
      <c r="D1055" s="23" t="n">
        <v>0.55</v>
      </c>
      <c r="E1055" s="19" t="s">
        <v>135</v>
      </c>
      <c r="F1055" s="19" t="s">
        <v>140</v>
      </c>
      <c r="G1055" s="19" t="s">
        <v>935</v>
      </c>
      <c r="H1055" s="19"/>
      <c r="I1055" s="24" t="n">
        <f aca="false">IF(AND(ISNUMBER(B1055),ISNUMBER(D1055)),B1055*D1055,0)</f>
        <v>93.5</v>
      </c>
    </row>
    <row r="1056" customFormat="false" ht="15" hidden="false" customHeight="false" outlineLevel="0" collapsed="false">
      <c r="A1056" s="19" t="s">
        <v>1182</v>
      </c>
      <c r="B1056" s="22" t="n">
        <v>170</v>
      </c>
      <c r="C1056" s="19" t="n">
        <v>11</v>
      </c>
      <c r="D1056" s="23" t="n">
        <v>0.67</v>
      </c>
      <c r="E1056" s="19" t="s">
        <v>168</v>
      </c>
      <c r="F1056" s="19" t="s">
        <v>161</v>
      </c>
      <c r="G1056" s="19" t="s">
        <v>935</v>
      </c>
      <c r="H1056" s="19"/>
      <c r="I1056" s="24" t="n">
        <f aca="false">IF(AND(ISNUMBER(B1056),ISNUMBER(D1056)),B1056*D1056,0)</f>
        <v>113.9</v>
      </c>
    </row>
    <row r="1057" customFormat="false" ht="15" hidden="false" customHeight="false" outlineLevel="0" collapsed="false">
      <c r="A1057" s="19" t="s">
        <v>1183</v>
      </c>
      <c r="B1057" s="22" t="n">
        <v>170</v>
      </c>
      <c r="C1057" s="19" t="n">
        <v>22</v>
      </c>
      <c r="D1057" s="23" t="n">
        <v>0.67</v>
      </c>
      <c r="E1057" s="19" t="s">
        <v>168</v>
      </c>
      <c r="F1057" s="19" t="s">
        <v>161</v>
      </c>
      <c r="G1057" s="19" t="s">
        <v>935</v>
      </c>
      <c r="H1057" s="19"/>
      <c r="I1057" s="24" t="n">
        <f aca="false">IF(AND(ISNUMBER(B1057),ISNUMBER(D1057)),B1057*D1057,0)</f>
        <v>113.9</v>
      </c>
    </row>
    <row r="1058" customFormat="false" ht="15" hidden="false" customHeight="false" outlineLevel="0" collapsed="false">
      <c r="A1058" s="19" t="s">
        <v>1184</v>
      </c>
      <c r="B1058" s="22" t="n">
        <v>170</v>
      </c>
      <c r="C1058" s="19" t="n">
        <v>10</v>
      </c>
      <c r="D1058" s="23" t="n">
        <v>1.12</v>
      </c>
      <c r="E1058" s="19" t="s">
        <v>168</v>
      </c>
      <c r="F1058" s="19" t="s">
        <v>161</v>
      </c>
      <c r="G1058" s="19" t="s">
        <v>935</v>
      </c>
      <c r="H1058" s="19"/>
      <c r="I1058" s="24" t="n">
        <f aca="false">IF(AND(ISNUMBER(B1058),ISNUMBER(D1058)),B1058*D1058,0)</f>
        <v>190.4</v>
      </c>
    </row>
    <row r="1059" customFormat="false" ht="15" hidden="false" customHeight="false" outlineLevel="0" collapsed="false">
      <c r="A1059" s="19" t="s">
        <v>1185</v>
      </c>
      <c r="B1059" s="22" t="n">
        <v>170</v>
      </c>
      <c r="C1059" s="19" t="n">
        <v>22</v>
      </c>
      <c r="D1059" s="23" t="n">
        <v>0.67</v>
      </c>
      <c r="E1059" s="19" t="s">
        <v>135</v>
      </c>
      <c r="F1059" s="19" t="s">
        <v>161</v>
      </c>
      <c r="G1059" s="19" t="s">
        <v>935</v>
      </c>
      <c r="H1059" s="19"/>
      <c r="I1059" s="24" t="n">
        <f aca="false">IF(AND(ISNUMBER(B1059),ISNUMBER(D1059)),B1059*D1059,0)</f>
        <v>113.9</v>
      </c>
    </row>
    <row r="1060" customFormat="false" ht="15" hidden="false" customHeight="false" outlineLevel="0" collapsed="false">
      <c r="A1060" s="19" t="s">
        <v>1186</v>
      </c>
      <c r="B1060" s="22" t="n">
        <v>170</v>
      </c>
      <c r="C1060" s="19" t="n">
        <v>25</v>
      </c>
      <c r="D1060" s="23" t="n">
        <v>0.38</v>
      </c>
      <c r="E1060" s="19" t="s">
        <v>135</v>
      </c>
      <c r="F1060" s="19" t="s">
        <v>161</v>
      </c>
      <c r="G1060" s="19" t="s">
        <v>935</v>
      </c>
      <c r="H1060" s="19"/>
      <c r="I1060" s="24" t="n">
        <f aca="false">IF(AND(ISNUMBER(B1060),ISNUMBER(D1060)),B1060*D1060,0)</f>
        <v>64.6</v>
      </c>
    </row>
    <row r="1061" customFormat="false" ht="15" hidden="false" customHeight="false" outlineLevel="0" collapsed="false">
      <c r="A1061" s="19" t="s">
        <v>1187</v>
      </c>
      <c r="B1061" s="22" t="n">
        <v>170</v>
      </c>
      <c r="C1061" s="19" t="n">
        <v>28</v>
      </c>
      <c r="D1061" s="23" t="n">
        <v>0</v>
      </c>
      <c r="E1061" s="19" t="s">
        <v>220</v>
      </c>
      <c r="F1061" s="19" t="s">
        <v>161</v>
      </c>
      <c r="G1061" s="19" t="s">
        <v>935</v>
      </c>
      <c r="H1061" s="19"/>
      <c r="I1061" s="24" t="n">
        <f aca="false">IF(AND(ISNUMBER(B1061),ISNUMBER(D1061)),B1061*D1061,0)</f>
        <v>0</v>
      </c>
    </row>
    <row r="1062" customFormat="false" ht="15" hidden="false" customHeight="false" outlineLevel="0" collapsed="false">
      <c r="A1062" s="19" t="s">
        <v>1188</v>
      </c>
      <c r="B1062" s="22" t="n">
        <v>170</v>
      </c>
      <c r="C1062" s="19" t="n">
        <v>24</v>
      </c>
      <c r="D1062" s="23" t="n">
        <v>0</v>
      </c>
      <c r="E1062" s="19" t="s">
        <v>135</v>
      </c>
      <c r="F1062" s="19" t="s">
        <v>161</v>
      </c>
      <c r="G1062" s="19" t="s">
        <v>935</v>
      </c>
      <c r="H1062" s="19"/>
      <c r="I1062" s="24" t="n">
        <f aca="false">IF(AND(ISNUMBER(B1062),ISNUMBER(D1062)),B1062*D1062,0)</f>
        <v>0</v>
      </c>
    </row>
    <row r="1063" customFormat="false" ht="15" hidden="false" customHeight="false" outlineLevel="0" collapsed="false">
      <c r="A1063" s="19" t="s">
        <v>1189</v>
      </c>
      <c r="B1063" s="22" t="n">
        <v>170</v>
      </c>
      <c r="C1063" s="19" t="n">
        <v>16</v>
      </c>
      <c r="D1063" s="23" t="n">
        <v>0.4</v>
      </c>
      <c r="E1063" s="19" t="s">
        <v>135</v>
      </c>
      <c r="F1063" s="19" t="s">
        <v>161</v>
      </c>
      <c r="G1063" s="19" t="s">
        <v>935</v>
      </c>
      <c r="H1063" s="19"/>
      <c r="I1063" s="24" t="n">
        <f aca="false">IF(AND(ISNUMBER(B1063),ISNUMBER(D1063)),B1063*D1063,0)</f>
        <v>68</v>
      </c>
    </row>
    <row r="1064" customFormat="false" ht="15" hidden="false" customHeight="false" outlineLevel="0" collapsed="false">
      <c r="A1064" s="19" t="s">
        <v>1190</v>
      </c>
      <c r="B1064" s="22" t="n">
        <v>170</v>
      </c>
      <c r="C1064" s="19" t="n">
        <v>26</v>
      </c>
      <c r="D1064" s="23" t="n">
        <v>0.49</v>
      </c>
      <c r="E1064" s="19" t="s">
        <v>135</v>
      </c>
      <c r="F1064" s="19" t="s">
        <v>161</v>
      </c>
      <c r="G1064" s="19" t="s">
        <v>935</v>
      </c>
      <c r="H1064" s="19"/>
      <c r="I1064" s="24" t="n">
        <f aca="false">IF(AND(ISNUMBER(B1064),ISNUMBER(D1064)),B1064*D1064,0)</f>
        <v>83.3</v>
      </c>
    </row>
    <row r="1065" customFormat="false" ht="15" hidden="false" customHeight="false" outlineLevel="0" collapsed="false">
      <c r="A1065" s="19" t="s">
        <v>1191</v>
      </c>
      <c r="B1065" s="22" t="n">
        <v>170</v>
      </c>
      <c r="C1065" s="19" t="n">
        <v>27</v>
      </c>
      <c r="D1065" s="23" t="n">
        <v>1.29</v>
      </c>
      <c r="E1065" s="19" t="s">
        <v>135</v>
      </c>
      <c r="F1065" s="19" t="s">
        <v>161</v>
      </c>
      <c r="G1065" s="19" t="s">
        <v>935</v>
      </c>
      <c r="H1065" s="19"/>
      <c r="I1065" s="24" t="n">
        <f aca="false">IF(AND(ISNUMBER(B1065),ISNUMBER(D1065)),B1065*D1065,0)</f>
        <v>219.3</v>
      </c>
    </row>
    <row r="1066" customFormat="false" ht="15" hidden="false" customHeight="false" outlineLevel="0" collapsed="false">
      <c r="A1066" s="19" t="s">
        <v>1192</v>
      </c>
      <c r="B1066" s="22" t="n">
        <v>170</v>
      </c>
      <c r="C1066" s="19" t="n">
        <v>16</v>
      </c>
      <c r="D1066" s="23" t="n">
        <v>1.35</v>
      </c>
      <c r="E1066" s="19" t="s">
        <v>135</v>
      </c>
      <c r="F1066" s="19" t="s">
        <v>161</v>
      </c>
      <c r="G1066" s="19" t="s">
        <v>935</v>
      </c>
      <c r="H1066" s="19"/>
      <c r="I1066" s="24" t="n">
        <f aca="false">IF(AND(ISNUMBER(B1066),ISNUMBER(D1066)),B1066*D1066,0)</f>
        <v>229.5</v>
      </c>
    </row>
    <row r="1067" customFormat="false" ht="15" hidden="false" customHeight="false" outlineLevel="0" collapsed="false">
      <c r="A1067" s="19" t="s">
        <v>1193</v>
      </c>
      <c r="B1067" s="22" t="n">
        <v>170</v>
      </c>
      <c r="C1067" s="19" t="n">
        <v>17</v>
      </c>
      <c r="D1067" s="23" t="n">
        <v>1.35</v>
      </c>
      <c r="E1067" s="19" t="s">
        <v>135</v>
      </c>
      <c r="F1067" s="19" t="s">
        <v>161</v>
      </c>
      <c r="G1067" s="19" t="s">
        <v>935</v>
      </c>
      <c r="H1067" s="19"/>
      <c r="I1067" s="24" t="n">
        <f aca="false">IF(AND(ISNUMBER(B1067),ISNUMBER(D1067)),B1067*D1067,0)</f>
        <v>229.5</v>
      </c>
    </row>
    <row r="1068" customFormat="false" ht="15" hidden="false" customHeight="false" outlineLevel="0" collapsed="false">
      <c r="A1068" s="19" t="s">
        <v>1194</v>
      </c>
      <c r="B1068" s="22" t="n">
        <v>170</v>
      </c>
      <c r="C1068" s="19" t="n">
        <v>11</v>
      </c>
      <c r="D1068" s="23" t="n">
        <v>0</v>
      </c>
      <c r="E1068" s="19" t="s">
        <v>135</v>
      </c>
      <c r="F1068" s="19" t="s">
        <v>161</v>
      </c>
      <c r="G1068" s="19" t="s">
        <v>935</v>
      </c>
      <c r="H1068" s="19"/>
      <c r="I1068" s="24" t="n">
        <f aca="false">IF(AND(ISNUMBER(B1068),ISNUMBER(D1068)),B1068*D1068,0)</f>
        <v>0</v>
      </c>
    </row>
    <row r="1069" customFormat="false" ht="15" hidden="false" customHeight="false" outlineLevel="0" collapsed="false">
      <c r="A1069" s="19" t="s">
        <v>1195</v>
      </c>
      <c r="B1069" s="22" t="n">
        <v>170</v>
      </c>
      <c r="C1069" s="19" t="n">
        <v>7</v>
      </c>
      <c r="D1069" s="23" t="n">
        <v>0.62</v>
      </c>
      <c r="E1069" s="19" t="s">
        <v>135</v>
      </c>
      <c r="F1069" s="19" t="s">
        <v>161</v>
      </c>
      <c r="G1069" s="19" t="s">
        <v>935</v>
      </c>
      <c r="H1069" s="19"/>
      <c r="I1069" s="24" t="n">
        <f aca="false">IF(AND(ISNUMBER(B1069),ISNUMBER(D1069)),B1069*D1069,0)</f>
        <v>105.4</v>
      </c>
    </row>
    <row r="1070" customFormat="false" ht="15" hidden="false" customHeight="false" outlineLevel="0" collapsed="false">
      <c r="A1070" s="19" t="s">
        <v>1196</v>
      </c>
      <c r="B1070" s="22" t="n">
        <v>170</v>
      </c>
      <c r="C1070" s="19" t="n">
        <v>28</v>
      </c>
      <c r="D1070" s="23" t="n">
        <v>0.57</v>
      </c>
      <c r="E1070" s="19" t="s">
        <v>135</v>
      </c>
      <c r="F1070" s="19" t="s">
        <v>161</v>
      </c>
      <c r="G1070" s="19" t="s">
        <v>935</v>
      </c>
      <c r="H1070" s="19"/>
      <c r="I1070" s="24" t="n">
        <f aca="false">IF(AND(ISNUMBER(B1070),ISNUMBER(D1070)),B1070*D1070,0)</f>
        <v>96.9</v>
      </c>
    </row>
    <row r="1071" customFormat="false" ht="15" hidden="false" customHeight="false" outlineLevel="0" collapsed="false">
      <c r="A1071" s="19" t="s">
        <v>1197</v>
      </c>
      <c r="B1071" s="22" t="n">
        <v>170</v>
      </c>
      <c r="C1071" s="19" t="n">
        <v>18</v>
      </c>
      <c r="D1071" s="23" t="n">
        <v>0.95</v>
      </c>
      <c r="E1071" s="19" t="s">
        <v>135</v>
      </c>
      <c r="F1071" s="19" t="s">
        <v>161</v>
      </c>
      <c r="G1071" s="19" t="s">
        <v>935</v>
      </c>
      <c r="H1071" s="19"/>
      <c r="I1071" s="24" t="n">
        <f aca="false">IF(AND(ISNUMBER(B1071),ISNUMBER(D1071)),B1071*D1071,0)</f>
        <v>161.5</v>
      </c>
    </row>
    <row r="1072" customFormat="false" ht="15" hidden="false" customHeight="false" outlineLevel="0" collapsed="false">
      <c r="A1072" s="19" t="s">
        <v>1198</v>
      </c>
      <c r="B1072" s="22" t="n">
        <v>170</v>
      </c>
      <c r="C1072" s="19" t="n">
        <v>23</v>
      </c>
      <c r="D1072" s="23" t="n">
        <v>0.95</v>
      </c>
      <c r="E1072" s="19" t="s">
        <v>135</v>
      </c>
      <c r="F1072" s="19" t="s">
        <v>161</v>
      </c>
      <c r="G1072" s="19" t="s">
        <v>935</v>
      </c>
      <c r="H1072" s="19"/>
      <c r="I1072" s="24" t="n">
        <f aca="false">IF(AND(ISNUMBER(B1072),ISNUMBER(D1072)),B1072*D1072,0)</f>
        <v>161.5</v>
      </c>
    </row>
    <row r="1073" customFormat="false" ht="15" hidden="false" customHeight="false" outlineLevel="0" collapsed="false">
      <c r="A1073" s="19" t="s">
        <v>1199</v>
      </c>
      <c r="B1073" s="22" t="n">
        <v>170</v>
      </c>
      <c r="C1073" s="19" t="n">
        <v>17</v>
      </c>
      <c r="D1073" s="23" t="n">
        <v>0.22</v>
      </c>
      <c r="E1073" s="19" t="s">
        <v>135</v>
      </c>
      <c r="F1073" s="19" t="s">
        <v>136</v>
      </c>
      <c r="G1073" s="19" t="s">
        <v>935</v>
      </c>
      <c r="H1073" s="19"/>
      <c r="I1073" s="24" t="n">
        <f aca="false">IF(AND(ISNUMBER(B1073),ISNUMBER(D1073)),B1073*D1073,0)</f>
        <v>37.4</v>
      </c>
    </row>
    <row r="1074" customFormat="false" ht="15" hidden="false" customHeight="false" outlineLevel="0" collapsed="false">
      <c r="A1074" s="19" t="s">
        <v>1200</v>
      </c>
      <c r="B1074" s="22" t="n">
        <v>170</v>
      </c>
      <c r="C1074" s="19" t="n">
        <v>14</v>
      </c>
      <c r="D1074" s="23" t="n">
        <v>0.46</v>
      </c>
      <c r="E1074" s="19" t="s">
        <v>145</v>
      </c>
      <c r="F1074" s="19" t="s">
        <v>136</v>
      </c>
      <c r="G1074" s="19" t="s">
        <v>935</v>
      </c>
      <c r="H1074" s="19"/>
      <c r="I1074" s="24" t="n">
        <f aca="false">IF(AND(ISNUMBER(B1074),ISNUMBER(D1074)),B1074*D1074,0)</f>
        <v>78.2</v>
      </c>
    </row>
    <row r="1075" customFormat="false" ht="15" hidden="false" customHeight="false" outlineLevel="0" collapsed="false">
      <c r="A1075" s="19" t="s">
        <v>1201</v>
      </c>
      <c r="B1075" s="22" t="n">
        <v>170</v>
      </c>
      <c r="C1075" s="19" t="n">
        <v>10</v>
      </c>
      <c r="D1075" s="23" t="n">
        <v>0</v>
      </c>
      <c r="E1075" s="19" t="s">
        <v>135</v>
      </c>
      <c r="F1075" s="19" t="s">
        <v>136</v>
      </c>
      <c r="G1075" s="19" t="s">
        <v>935</v>
      </c>
      <c r="H1075" s="19"/>
      <c r="I1075" s="24" t="n">
        <f aca="false">IF(AND(ISNUMBER(B1075),ISNUMBER(D1075)),B1075*D1075,0)</f>
        <v>0</v>
      </c>
    </row>
    <row r="1076" customFormat="false" ht="15" hidden="false" customHeight="false" outlineLevel="0" collapsed="false">
      <c r="A1076" s="19" t="s">
        <v>1202</v>
      </c>
      <c r="B1076" s="22" t="n">
        <v>170</v>
      </c>
      <c r="C1076" s="19" t="n">
        <v>18</v>
      </c>
      <c r="D1076" s="23" t="n">
        <v>0.47</v>
      </c>
      <c r="E1076" s="19" t="s">
        <v>145</v>
      </c>
      <c r="F1076" s="19" t="s">
        <v>136</v>
      </c>
      <c r="G1076" s="19" t="s">
        <v>935</v>
      </c>
      <c r="H1076" s="19"/>
      <c r="I1076" s="24" t="n">
        <f aca="false">IF(AND(ISNUMBER(B1076),ISNUMBER(D1076)),B1076*D1076,0)</f>
        <v>79.9</v>
      </c>
    </row>
    <row r="1077" customFormat="false" ht="15" hidden="false" customHeight="false" outlineLevel="0" collapsed="false">
      <c r="A1077" s="19" t="s">
        <v>1203</v>
      </c>
      <c r="B1077" s="22" t="n">
        <v>170</v>
      </c>
      <c r="C1077" s="19" t="n">
        <v>19</v>
      </c>
      <c r="D1077" s="23" t="n">
        <v>0.31</v>
      </c>
      <c r="E1077" s="19" t="s">
        <v>135</v>
      </c>
      <c r="F1077" s="19" t="s">
        <v>136</v>
      </c>
      <c r="G1077" s="19" t="s">
        <v>935</v>
      </c>
      <c r="H1077" s="19"/>
      <c r="I1077" s="24" t="n">
        <f aca="false">IF(AND(ISNUMBER(B1077),ISNUMBER(D1077)),B1077*D1077,0)</f>
        <v>52.7</v>
      </c>
    </row>
    <row r="1078" customFormat="false" ht="15" hidden="false" customHeight="false" outlineLevel="0" collapsed="false">
      <c r="A1078" s="19" t="s">
        <v>1204</v>
      </c>
      <c r="B1078" s="22" t="n">
        <v>170</v>
      </c>
      <c r="C1078" s="19" t="n">
        <v>29</v>
      </c>
      <c r="D1078" s="23" t="n">
        <v>0.22</v>
      </c>
      <c r="E1078" s="19" t="s">
        <v>135</v>
      </c>
      <c r="F1078" s="19" t="s">
        <v>136</v>
      </c>
      <c r="G1078" s="19" t="s">
        <v>935</v>
      </c>
      <c r="H1078" s="19"/>
      <c r="I1078" s="24" t="n">
        <f aca="false">IF(AND(ISNUMBER(B1078),ISNUMBER(D1078)),B1078*D1078,0)</f>
        <v>37.4</v>
      </c>
    </row>
    <row r="1079" customFormat="false" ht="15" hidden="false" customHeight="false" outlineLevel="0" collapsed="false">
      <c r="A1079" s="19" t="s">
        <v>1205</v>
      </c>
      <c r="B1079" s="22" t="n">
        <v>170</v>
      </c>
      <c r="C1079" s="19" t="n">
        <v>18</v>
      </c>
      <c r="D1079" s="23" t="n">
        <v>0</v>
      </c>
      <c r="E1079" s="19" t="s">
        <v>135</v>
      </c>
      <c r="F1079" s="19" t="s">
        <v>136</v>
      </c>
      <c r="G1079" s="19" t="s">
        <v>935</v>
      </c>
      <c r="H1079" s="19"/>
      <c r="I1079" s="24" t="n">
        <f aca="false">IF(AND(ISNUMBER(B1079),ISNUMBER(D1079)),B1079*D1079,0)</f>
        <v>0</v>
      </c>
    </row>
    <row r="1080" customFormat="false" ht="15" hidden="false" customHeight="false" outlineLevel="0" collapsed="false">
      <c r="A1080" s="19" t="s">
        <v>1206</v>
      </c>
      <c r="B1080" s="22" t="n">
        <v>170</v>
      </c>
      <c r="C1080" s="19" t="n">
        <v>23</v>
      </c>
      <c r="D1080" s="23" t="n">
        <v>0.59</v>
      </c>
      <c r="E1080" s="19" t="s">
        <v>135</v>
      </c>
      <c r="F1080" s="19" t="s">
        <v>136</v>
      </c>
      <c r="G1080" s="19" t="s">
        <v>935</v>
      </c>
      <c r="H1080" s="19"/>
      <c r="I1080" s="24" t="n">
        <f aca="false">IF(AND(ISNUMBER(B1080),ISNUMBER(D1080)),B1080*D1080,0)</f>
        <v>100.3</v>
      </c>
    </row>
    <row r="1081" customFormat="false" ht="15" hidden="false" customHeight="false" outlineLevel="0" collapsed="false">
      <c r="A1081" s="19" t="s">
        <v>1207</v>
      </c>
      <c r="B1081" s="22" t="n">
        <v>170</v>
      </c>
      <c r="C1081" s="19" t="n">
        <v>18</v>
      </c>
      <c r="D1081" s="23" t="n">
        <v>0.72</v>
      </c>
      <c r="E1081" s="19" t="s">
        <v>135</v>
      </c>
      <c r="F1081" s="19" t="s">
        <v>136</v>
      </c>
      <c r="G1081" s="19" t="s">
        <v>935</v>
      </c>
      <c r="H1081" s="19"/>
      <c r="I1081" s="24" t="n">
        <f aca="false">IF(AND(ISNUMBER(B1081),ISNUMBER(D1081)),B1081*D1081,0)</f>
        <v>122.4</v>
      </c>
    </row>
    <row r="1082" customFormat="false" ht="15" hidden="false" customHeight="false" outlineLevel="0" collapsed="false">
      <c r="A1082" s="19" t="s">
        <v>1208</v>
      </c>
      <c r="B1082" s="22" t="n">
        <v>170</v>
      </c>
      <c r="C1082" s="19" t="n">
        <v>27</v>
      </c>
      <c r="D1082" s="23" t="n">
        <v>0</v>
      </c>
      <c r="E1082" s="19" t="s">
        <v>135</v>
      </c>
      <c r="F1082" s="19" t="s">
        <v>136</v>
      </c>
      <c r="G1082" s="19" t="s">
        <v>935</v>
      </c>
      <c r="H1082" s="19"/>
      <c r="I1082" s="24" t="n">
        <f aca="false">IF(AND(ISNUMBER(B1082),ISNUMBER(D1082)),B1082*D1082,0)</f>
        <v>0</v>
      </c>
    </row>
    <row r="1083" customFormat="false" ht="15" hidden="false" customHeight="false" outlineLevel="0" collapsed="false">
      <c r="A1083" s="19" t="s">
        <v>1209</v>
      </c>
      <c r="B1083" s="22" t="n">
        <v>140</v>
      </c>
      <c r="C1083" s="19" t="n">
        <v>12</v>
      </c>
      <c r="D1083" s="23" t="n">
        <v>1.37</v>
      </c>
      <c r="E1083" s="19" t="s">
        <v>135</v>
      </c>
      <c r="F1083" s="19" t="s">
        <v>151</v>
      </c>
      <c r="G1083" s="19" t="s">
        <v>935</v>
      </c>
      <c r="H1083" s="19"/>
      <c r="I1083" s="24" t="n">
        <f aca="false">IF(AND(ISNUMBER(B1083),ISNUMBER(D1083)),B1083*D1083,0)</f>
        <v>191.8</v>
      </c>
    </row>
    <row r="1084" customFormat="false" ht="15" hidden="false" customHeight="false" outlineLevel="0" collapsed="false">
      <c r="A1084" s="19" t="s">
        <v>1210</v>
      </c>
      <c r="B1084" s="22" t="n">
        <v>140</v>
      </c>
      <c r="C1084" s="19" t="n">
        <v>10</v>
      </c>
      <c r="D1084" s="23" t="n">
        <v>0.41</v>
      </c>
      <c r="E1084" s="19" t="s">
        <v>168</v>
      </c>
      <c r="F1084" s="19" t="s">
        <v>140</v>
      </c>
      <c r="G1084" s="19" t="s">
        <v>935</v>
      </c>
      <c r="H1084" s="19"/>
      <c r="I1084" s="24" t="n">
        <f aca="false">IF(AND(ISNUMBER(B1084),ISNUMBER(D1084)),B1084*D1084,0)</f>
        <v>57.4</v>
      </c>
    </row>
    <row r="1085" customFormat="false" ht="15" hidden="false" customHeight="false" outlineLevel="0" collapsed="false">
      <c r="A1085" s="19" t="s">
        <v>1211</v>
      </c>
      <c r="B1085" s="22" t="n">
        <v>140</v>
      </c>
      <c r="C1085" s="19" t="n">
        <v>9</v>
      </c>
      <c r="D1085" s="23" t="n">
        <v>0.41</v>
      </c>
      <c r="E1085" s="19" t="s">
        <v>168</v>
      </c>
      <c r="F1085" s="19" t="s">
        <v>140</v>
      </c>
      <c r="G1085" s="19" t="s">
        <v>935</v>
      </c>
      <c r="H1085" s="19"/>
      <c r="I1085" s="24" t="n">
        <f aca="false">IF(AND(ISNUMBER(B1085),ISNUMBER(D1085)),B1085*D1085,0)</f>
        <v>57.4</v>
      </c>
    </row>
    <row r="1086" customFormat="false" ht="15" hidden="false" customHeight="false" outlineLevel="0" collapsed="false">
      <c r="A1086" s="19" t="s">
        <v>1212</v>
      </c>
      <c r="B1086" s="22" t="n">
        <v>140</v>
      </c>
      <c r="C1086" s="19" t="n">
        <v>10</v>
      </c>
      <c r="D1086" s="23" t="n">
        <v>0.41</v>
      </c>
      <c r="E1086" s="19" t="s">
        <v>168</v>
      </c>
      <c r="F1086" s="19" t="s">
        <v>140</v>
      </c>
      <c r="G1086" s="19" t="s">
        <v>935</v>
      </c>
      <c r="H1086" s="19"/>
      <c r="I1086" s="24" t="n">
        <f aca="false">IF(AND(ISNUMBER(B1086),ISNUMBER(D1086)),B1086*D1086,0)</f>
        <v>57.4</v>
      </c>
    </row>
    <row r="1087" customFormat="false" ht="15" hidden="false" customHeight="false" outlineLevel="0" collapsed="false">
      <c r="A1087" s="19" t="s">
        <v>1213</v>
      </c>
      <c r="B1087" s="22" t="n">
        <v>140</v>
      </c>
      <c r="C1087" s="19" t="n">
        <v>10</v>
      </c>
      <c r="D1087" s="23" t="n">
        <v>0.41</v>
      </c>
      <c r="E1087" s="19" t="s">
        <v>168</v>
      </c>
      <c r="F1087" s="19" t="s">
        <v>140</v>
      </c>
      <c r="G1087" s="19" t="s">
        <v>935</v>
      </c>
      <c r="H1087" s="19"/>
      <c r="I1087" s="24" t="n">
        <f aca="false">IF(AND(ISNUMBER(B1087),ISNUMBER(D1087)),B1087*D1087,0)</f>
        <v>57.4</v>
      </c>
    </row>
    <row r="1088" customFormat="false" ht="15" hidden="false" customHeight="false" outlineLevel="0" collapsed="false">
      <c r="A1088" s="19" t="s">
        <v>1214</v>
      </c>
      <c r="B1088" s="22" t="n">
        <v>140</v>
      </c>
      <c r="C1088" s="19" t="n">
        <v>12</v>
      </c>
      <c r="D1088" s="23" t="n">
        <v>0.41</v>
      </c>
      <c r="E1088" s="19" t="s">
        <v>168</v>
      </c>
      <c r="F1088" s="19" t="s">
        <v>140</v>
      </c>
      <c r="G1088" s="19" t="s">
        <v>935</v>
      </c>
      <c r="H1088" s="19"/>
      <c r="I1088" s="24" t="n">
        <f aca="false">IF(AND(ISNUMBER(B1088),ISNUMBER(D1088)),B1088*D1088,0)</f>
        <v>57.4</v>
      </c>
    </row>
    <row r="1089" customFormat="false" ht="15" hidden="false" customHeight="false" outlineLevel="0" collapsed="false">
      <c r="A1089" s="19" t="s">
        <v>1215</v>
      </c>
      <c r="B1089" s="22" t="n">
        <v>140</v>
      </c>
      <c r="C1089" s="19" t="n">
        <v>9</v>
      </c>
      <c r="D1089" s="23" t="n">
        <v>0.41</v>
      </c>
      <c r="E1089" s="19" t="s">
        <v>168</v>
      </c>
      <c r="F1089" s="19" t="s">
        <v>140</v>
      </c>
      <c r="G1089" s="19" t="s">
        <v>935</v>
      </c>
      <c r="H1089" s="19"/>
      <c r="I1089" s="24" t="n">
        <f aca="false">IF(AND(ISNUMBER(B1089),ISNUMBER(D1089)),B1089*D1089,0)</f>
        <v>57.4</v>
      </c>
    </row>
    <row r="1090" customFormat="false" ht="15" hidden="false" customHeight="false" outlineLevel="0" collapsed="false">
      <c r="A1090" s="19" t="s">
        <v>1216</v>
      </c>
      <c r="B1090" s="22" t="n">
        <v>140</v>
      </c>
      <c r="C1090" s="19" t="n">
        <v>7</v>
      </c>
      <c r="D1090" s="23" t="n">
        <v>0</v>
      </c>
      <c r="E1090" s="19" t="s">
        <v>135</v>
      </c>
      <c r="F1090" s="19" t="s">
        <v>140</v>
      </c>
      <c r="G1090" s="19" t="s">
        <v>935</v>
      </c>
      <c r="H1090" s="19"/>
      <c r="I1090" s="24" t="n">
        <f aca="false">IF(AND(ISNUMBER(B1090),ISNUMBER(D1090)),B1090*D1090,0)</f>
        <v>0</v>
      </c>
    </row>
    <row r="1091" customFormat="false" ht="15" hidden="false" customHeight="false" outlineLevel="0" collapsed="false">
      <c r="A1091" s="19" t="s">
        <v>1217</v>
      </c>
      <c r="B1091" s="22" t="n">
        <v>140</v>
      </c>
      <c r="C1091" s="19" t="n">
        <v>17</v>
      </c>
      <c r="D1091" s="23" t="n">
        <v>1.02</v>
      </c>
      <c r="E1091" s="19" t="s">
        <v>135</v>
      </c>
      <c r="F1091" s="19" t="s">
        <v>140</v>
      </c>
      <c r="G1091" s="19" t="s">
        <v>935</v>
      </c>
      <c r="H1091" s="19"/>
      <c r="I1091" s="24" t="n">
        <f aca="false">IF(AND(ISNUMBER(B1091),ISNUMBER(D1091)),B1091*D1091,0)</f>
        <v>142.8</v>
      </c>
    </row>
    <row r="1092" customFormat="false" ht="15" hidden="false" customHeight="false" outlineLevel="0" collapsed="false">
      <c r="A1092" s="19" t="s">
        <v>1218</v>
      </c>
      <c r="B1092" s="22" t="n">
        <v>140</v>
      </c>
      <c r="C1092" s="19" t="n">
        <v>27</v>
      </c>
      <c r="D1092" s="23" t="n">
        <v>0</v>
      </c>
      <c r="E1092" s="19" t="s">
        <v>135</v>
      </c>
      <c r="F1092" s="19" t="s">
        <v>140</v>
      </c>
      <c r="G1092" s="19" t="s">
        <v>935</v>
      </c>
      <c r="H1092" s="19"/>
      <c r="I1092" s="24" t="n">
        <f aca="false">IF(AND(ISNUMBER(B1092),ISNUMBER(D1092)),B1092*D1092,0)</f>
        <v>0</v>
      </c>
    </row>
    <row r="1093" customFormat="false" ht="15" hidden="false" customHeight="false" outlineLevel="0" collapsed="false">
      <c r="A1093" s="19" t="s">
        <v>1219</v>
      </c>
      <c r="B1093" s="22" t="n">
        <v>140</v>
      </c>
      <c r="C1093" s="19" t="n">
        <v>14</v>
      </c>
      <c r="D1093" s="23" t="n">
        <v>0.34</v>
      </c>
      <c r="E1093" s="19" t="s">
        <v>135</v>
      </c>
      <c r="F1093" s="19" t="s">
        <v>140</v>
      </c>
      <c r="G1093" s="19" t="s">
        <v>935</v>
      </c>
      <c r="H1093" s="19"/>
      <c r="I1093" s="24" t="n">
        <f aca="false">IF(AND(ISNUMBER(B1093),ISNUMBER(D1093)),B1093*D1093,0)</f>
        <v>47.6</v>
      </c>
    </row>
    <row r="1094" customFormat="false" ht="15" hidden="false" customHeight="false" outlineLevel="0" collapsed="false">
      <c r="A1094" s="19" t="s">
        <v>1220</v>
      </c>
      <c r="B1094" s="22" t="n">
        <v>140</v>
      </c>
      <c r="C1094" s="19" t="n">
        <v>17</v>
      </c>
      <c r="D1094" s="23" t="n">
        <v>0.39</v>
      </c>
      <c r="E1094" s="19" t="s">
        <v>135</v>
      </c>
      <c r="F1094" s="19" t="s">
        <v>140</v>
      </c>
      <c r="G1094" s="19" t="s">
        <v>935</v>
      </c>
      <c r="H1094" s="19"/>
      <c r="I1094" s="24" t="n">
        <f aca="false">IF(AND(ISNUMBER(B1094),ISNUMBER(D1094)),B1094*D1094,0)</f>
        <v>54.6</v>
      </c>
    </row>
    <row r="1095" customFormat="false" ht="15" hidden="false" customHeight="false" outlineLevel="0" collapsed="false">
      <c r="A1095" s="19" t="s">
        <v>1221</v>
      </c>
      <c r="B1095" s="22" t="n">
        <v>140</v>
      </c>
      <c r="C1095" s="19" t="n">
        <v>20</v>
      </c>
      <c r="D1095" s="23" t="n">
        <v>1.04</v>
      </c>
      <c r="E1095" s="19" t="s">
        <v>135</v>
      </c>
      <c r="F1095" s="19" t="s">
        <v>140</v>
      </c>
      <c r="G1095" s="19" t="s">
        <v>935</v>
      </c>
      <c r="H1095" s="19"/>
      <c r="I1095" s="24" t="n">
        <f aca="false">IF(AND(ISNUMBER(B1095),ISNUMBER(D1095)),B1095*D1095,0)</f>
        <v>145.6</v>
      </c>
    </row>
    <row r="1096" customFormat="false" ht="15" hidden="false" customHeight="false" outlineLevel="0" collapsed="false">
      <c r="A1096" s="19" t="s">
        <v>1222</v>
      </c>
      <c r="B1096" s="22" t="n">
        <v>140</v>
      </c>
      <c r="C1096" s="19" t="n">
        <v>19</v>
      </c>
      <c r="D1096" s="23" t="n">
        <v>0.88</v>
      </c>
      <c r="E1096" s="19" t="s">
        <v>135</v>
      </c>
      <c r="F1096" s="19" t="s">
        <v>140</v>
      </c>
      <c r="G1096" s="19" t="s">
        <v>935</v>
      </c>
      <c r="H1096" s="19"/>
      <c r="I1096" s="24" t="n">
        <f aca="false">IF(AND(ISNUMBER(B1096),ISNUMBER(D1096)),B1096*D1096,0)</f>
        <v>123.2</v>
      </c>
    </row>
    <row r="1097" customFormat="false" ht="15" hidden="false" customHeight="false" outlineLevel="0" collapsed="false">
      <c r="A1097" s="19" t="s">
        <v>1223</v>
      </c>
      <c r="B1097" s="22" t="n">
        <v>140</v>
      </c>
      <c r="C1097" s="19" t="n">
        <v>19</v>
      </c>
      <c r="D1097" s="23" t="n">
        <v>0.31</v>
      </c>
      <c r="E1097" s="19" t="s">
        <v>135</v>
      </c>
      <c r="F1097" s="19" t="s">
        <v>140</v>
      </c>
      <c r="G1097" s="19" t="s">
        <v>935</v>
      </c>
      <c r="H1097" s="19"/>
      <c r="I1097" s="24" t="n">
        <f aca="false">IF(AND(ISNUMBER(B1097),ISNUMBER(D1097)),B1097*D1097,0)</f>
        <v>43.4</v>
      </c>
    </row>
    <row r="1098" customFormat="false" ht="15" hidden="false" customHeight="false" outlineLevel="0" collapsed="false">
      <c r="A1098" s="19" t="s">
        <v>1224</v>
      </c>
      <c r="B1098" s="22" t="n">
        <v>140</v>
      </c>
      <c r="C1098" s="19" t="n">
        <v>14</v>
      </c>
      <c r="D1098" s="23" t="n">
        <v>0.51</v>
      </c>
      <c r="E1098" s="19" t="s">
        <v>145</v>
      </c>
      <c r="F1098" s="19" t="s">
        <v>161</v>
      </c>
      <c r="G1098" s="19" t="s">
        <v>935</v>
      </c>
      <c r="H1098" s="19"/>
      <c r="I1098" s="24" t="n">
        <f aca="false">IF(AND(ISNUMBER(B1098),ISNUMBER(D1098)),B1098*D1098,0)</f>
        <v>71.4</v>
      </c>
    </row>
    <row r="1099" customFormat="false" ht="15" hidden="false" customHeight="false" outlineLevel="0" collapsed="false">
      <c r="A1099" s="19" t="s">
        <v>1225</v>
      </c>
      <c r="B1099" s="22" t="n">
        <v>140</v>
      </c>
      <c r="C1099" s="19" t="n">
        <v>20</v>
      </c>
      <c r="D1099" s="23" t="n">
        <v>0.82</v>
      </c>
      <c r="E1099" s="19" t="s">
        <v>135</v>
      </c>
      <c r="F1099" s="19" t="s">
        <v>161</v>
      </c>
      <c r="G1099" s="19" t="s">
        <v>935</v>
      </c>
      <c r="H1099" s="19"/>
      <c r="I1099" s="24" t="n">
        <f aca="false">IF(AND(ISNUMBER(B1099),ISNUMBER(D1099)),B1099*D1099,0)</f>
        <v>114.8</v>
      </c>
    </row>
    <row r="1100" customFormat="false" ht="15" hidden="false" customHeight="false" outlineLevel="0" collapsed="false">
      <c r="A1100" s="19" t="s">
        <v>1226</v>
      </c>
      <c r="B1100" s="22" t="n">
        <v>140</v>
      </c>
      <c r="C1100" s="19" t="n">
        <v>23</v>
      </c>
      <c r="D1100" s="23" t="n">
        <v>0</v>
      </c>
      <c r="E1100" s="19" t="s">
        <v>135</v>
      </c>
      <c r="F1100" s="19" t="s">
        <v>161</v>
      </c>
      <c r="G1100" s="19" t="s">
        <v>935</v>
      </c>
      <c r="H1100" s="19"/>
      <c r="I1100" s="24" t="n">
        <f aca="false">IF(AND(ISNUMBER(B1100),ISNUMBER(D1100)),B1100*D1100,0)</f>
        <v>0</v>
      </c>
    </row>
    <row r="1101" customFormat="false" ht="15" hidden="false" customHeight="false" outlineLevel="0" collapsed="false">
      <c r="A1101" s="19" t="s">
        <v>1227</v>
      </c>
      <c r="B1101" s="22" t="n">
        <v>140</v>
      </c>
      <c r="C1101" s="19" t="n">
        <v>15</v>
      </c>
      <c r="D1101" s="23" t="n">
        <v>0.69</v>
      </c>
      <c r="E1101" s="19" t="s">
        <v>135</v>
      </c>
      <c r="F1101" s="19" t="s">
        <v>161</v>
      </c>
      <c r="G1101" s="19" t="s">
        <v>935</v>
      </c>
      <c r="H1101" s="19"/>
      <c r="I1101" s="24" t="n">
        <f aca="false">IF(AND(ISNUMBER(B1101),ISNUMBER(D1101)),B1101*D1101,0)</f>
        <v>96.6</v>
      </c>
    </row>
    <row r="1102" customFormat="false" ht="15" hidden="false" customHeight="false" outlineLevel="0" collapsed="false">
      <c r="A1102" s="19" t="s">
        <v>1228</v>
      </c>
      <c r="B1102" s="22" t="n">
        <v>140</v>
      </c>
      <c r="C1102" s="19" t="n">
        <v>21</v>
      </c>
      <c r="D1102" s="23" t="n">
        <v>1.56</v>
      </c>
      <c r="E1102" s="19" t="s">
        <v>135</v>
      </c>
      <c r="F1102" s="19" t="s">
        <v>161</v>
      </c>
      <c r="G1102" s="19" t="s">
        <v>935</v>
      </c>
      <c r="H1102" s="19"/>
      <c r="I1102" s="24" t="n">
        <f aca="false">IF(AND(ISNUMBER(B1102),ISNUMBER(D1102)),B1102*D1102,0)</f>
        <v>218.4</v>
      </c>
    </row>
    <row r="1103" customFormat="false" ht="15" hidden="false" customHeight="false" outlineLevel="0" collapsed="false">
      <c r="A1103" s="19" t="s">
        <v>1229</v>
      </c>
      <c r="B1103" s="22" t="n">
        <v>140</v>
      </c>
      <c r="C1103" s="19" t="n">
        <v>8</v>
      </c>
      <c r="D1103" s="23" t="n">
        <v>1.56</v>
      </c>
      <c r="E1103" s="19" t="s">
        <v>135</v>
      </c>
      <c r="F1103" s="19" t="s">
        <v>161</v>
      </c>
      <c r="G1103" s="19" t="s">
        <v>935</v>
      </c>
      <c r="H1103" s="19"/>
      <c r="I1103" s="24" t="n">
        <f aca="false">IF(AND(ISNUMBER(B1103),ISNUMBER(D1103)),B1103*D1103,0)</f>
        <v>218.4</v>
      </c>
    </row>
    <row r="1104" customFormat="false" ht="15" hidden="false" customHeight="false" outlineLevel="0" collapsed="false">
      <c r="A1104" s="19" t="s">
        <v>1230</v>
      </c>
      <c r="B1104" s="22" t="n">
        <v>140</v>
      </c>
      <c r="C1104" s="19" t="n">
        <v>7</v>
      </c>
      <c r="D1104" s="23" t="n">
        <v>0</v>
      </c>
      <c r="E1104" s="19" t="s">
        <v>135</v>
      </c>
      <c r="F1104" s="19" t="s">
        <v>161</v>
      </c>
      <c r="G1104" s="19" t="s">
        <v>935</v>
      </c>
      <c r="H1104" s="19"/>
      <c r="I1104" s="24" t="n">
        <f aca="false">IF(AND(ISNUMBER(B1104),ISNUMBER(D1104)),B1104*D1104,0)</f>
        <v>0</v>
      </c>
    </row>
    <row r="1105" customFormat="false" ht="15" hidden="false" customHeight="false" outlineLevel="0" collapsed="false">
      <c r="A1105" s="19" t="s">
        <v>1231</v>
      </c>
      <c r="B1105" s="22" t="n">
        <v>140</v>
      </c>
      <c r="C1105" s="19" t="n">
        <v>26</v>
      </c>
      <c r="D1105" s="23" t="n">
        <v>0.95</v>
      </c>
      <c r="E1105" s="19" t="s">
        <v>135</v>
      </c>
      <c r="F1105" s="19" t="s">
        <v>161</v>
      </c>
      <c r="G1105" s="19" t="s">
        <v>935</v>
      </c>
      <c r="H1105" s="19"/>
      <c r="I1105" s="24" t="n">
        <f aca="false">IF(AND(ISNUMBER(B1105),ISNUMBER(D1105)),B1105*D1105,0)</f>
        <v>133</v>
      </c>
    </row>
    <row r="1106" customFormat="false" ht="15" hidden="false" customHeight="false" outlineLevel="0" collapsed="false">
      <c r="A1106" s="19" t="s">
        <v>1232</v>
      </c>
      <c r="B1106" s="22" t="n">
        <v>140</v>
      </c>
      <c r="C1106" s="19" t="n">
        <v>18</v>
      </c>
      <c r="D1106" s="23" t="n">
        <v>0</v>
      </c>
      <c r="E1106" s="19" t="s">
        <v>135</v>
      </c>
      <c r="F1106" s="19" t="s">
        <v>161</v>
      </c>
      <c r="G1106" s="19" t="s">
        <v>935</v>
      </c>
      <c r="H1106" s="19"/>
      <c r="I1106" s="24" t="n">
        <f aca="false">IF(AND(ISNUMBER(B1106),ISNUMBER(D1106)),B1106*D1106,0)</f>
        <v>0</v>
      </c>
    </row>
    <row r="1107" customFormat="false" ht="15" hidden="false" customHeight="false" outlineLevel="0" collapsed="false">
      <c r="A1107" s="19" t="s">
        <v>1233</v>
      </c>
      <c r="B1107" s="22" t="n">
        <v>140</v>
      </c>
      <c r="C1107" s="19" t="n">
        <v>18</v>
      </c>
      <c r="D1107" s="23" t="n">
        <v>1.34</v>
      </c>
      <c r="E1107" s="19" t="s">
        <v>135</v>
      </c>
      <c r="F1107" s="19" t="s">
        <v>161</v>
      </c>
      <c r="G1107" s="19" t="s">
        <v>935</v>
      </c>
      <c r="H1107" s="19"/>
      <c r="I1107" s="24" t="n">
        <f aca="false">IF(AND(ISNUMBER(B1107),ISNUMBER(D1107)),B1107*D1107,0)</f>
        <v>187.6</v>
      </c>
    </row>
    <row r="1108" customFormat="false" ht="15" hidden="false" customHeight="false" outlineLevel="0" collapsed="false">
      <c r="A1108" s="19" t="s">
        <v>1234</v>
      </c>
      <c r="B1108" s="22" t="n">
        <v>140</v>
      </c>
      <c r="C1108" s="19" t="n">
        <v>21</v>
      </c>
      <c r="D1108" s="23" t="n">
        <v>0.18</v>
      </c>
      <c r="E1108" s="19" t="s">
        <v>135</v>
      </c>
      <c r="F1108" s="19" t="s">
        <v>161</v>
      </c>
      <c r="G1108" s="19" t="s">
        <v>935</v>
      </c>
      <c r="H1108" s="19"/>
      <c r="I1108" s="24" t="n">
        <f aca="false">IF(AND(ISNUMBER(B1108),ISNUMBER(D1108)),B1108*D1108,0)</f>
        <v>25.2</v>
      </c>
    </row>
    <row r="1109" customFormat="false" ht="15" hidden="false" customHeight="false" outlineLevel="0" collapsed="false">
      <c r="A1109" s="19" t="s">
        <v>1235</v>
      </c>
      <c r="B1109" s="22" t="n">
        <v>140</v>
      </c>
      <c r="C1109" s="19" t="n">
        <v>16</v>
      </c>
      <c r="D1109" s="23" t="n">
        <v>1.37</v>
      </c>
      <c r="E1109" s="19" t="s">
        <v>135</v>
      </c>
      <c r="F1109" s="19" t="s">
        <v>161</v>
      </c>
      <c r="G1109" s="19" t="s">
        <v>935</v>
      </c>
      <c r="H1109" s="19"/>
      <c r="I1109" s="24" t="n">
        <f aca="false">IF(AND(ISNUMBER(B1109),ISNUMBER(D1109)),B1109*D1109,0)</f>
        <v>191.8</v>
      </c>
    </row>
    <row r="1110" customFormat="false" ht="15" hidden="false" customHeight="false" outlineLevel="0" collapsed="false">
      <c r="A1110" s="19" t="s">
        <v>1236</v>
      </c>
      <c r="B1110" s="22" t="n">
        <v>140</v>
      </c>
      <c r="C1110" s="19" t="n">
        <v>15</v>
      </c>
      <c r="D1110" s="23" t="n">
        <v>0.59</v>
      </c>
      <c r="E1110" s="19" t="s">
        <v>135</v>
      </c>
      <c r="F1110" s="19" t="s">
        <v>161</v>
      </c>
      <c r="G1110" s="19" t="s">
        <v>935</v>
      </c>
      <c r="H1110" s="19"/>
      <c r="I1110" s="24" t="n">
        <f aca="false">IF(AND(ISNUMBER(B1110),ISNUMBER(D1110)),B1110*D1110,0)</f>
        <v>82.6</v>
      </c>
    </row>
    <row r="1111" customFormat="false" ht="15" hidden="false" customHeight="false" outlineLevel="0" collapsed="false">
      <c r="A1111" s="19" t="s">
        <v>1237</v>
      </c>
      <c r="B1111" s="22" t="n">
        <v>140</v>
      </c>
      <c r="C1111" s="19" t="n">
        <v>12</v>
      </c>
      <c r="D1111" s="23" t="n">
        <v>0.38</v>
      </c>
      <c r="E1111" s="19" t="s">
        <v>135</v>
      </c>
      <c r="F1111" s="19" t="s">
        <v>161</v>
      </c>
      <c r="G1111" s="19" t="s">
        <v>935</v>
      </c>
      <c r="H1111" s="19"/>
      <c r="I1111" s="24" t="n">
        <f aca="false">IF(AND(ISNUMBER(B1111),ISNUMBER(D1111)),B1111*D1111,0)</f>
        <v>53.2</v>
      </c>
    </row>
    <row r="1112" customFormat="false" ht="15" hidden="false" customHeight="false" outlineLevel="0" collapsed="false">
      <c r="A1112" s="19" t="s">
        <v>1238</v>
      </c>
      <c r="B1112" s="22" t="n">
        <v>140</v>
      </c>
      <c r="C1112" s="19" t="n">
        <v>10</v>
      </c>
      <c r="D1112" s="23" t="n">
        <v>0</v>
      </c>
      <c r="E1112" s="19" t="s">
        <v>135</v>
      </c>
      <c r="F1112" s="19" t="s">
        <v>161</v>
      </c>
      <c r="G1112" s="19" t="s">
        <v>935</v>
      </c>
      <c r="H1112" s="19"/>
      <c r="I1112" s="24" t="n">
        <f aca="false">IF(AND(ISNUMBER(B1112),ISNUMBER(D1112)),B1112*D1112,0)</f>
        <v>0</v>
      </c>
    </row>
    <row r="1113" customFormat="false" ht="15" hidden="false" customHeight="false" outlineLevel="0" collapsed="false">
      <c r="A1113" s="19" t="s">
        <v>1239</v>
      </c>
      <c r="B1113" s="22" t="n">
        <v>140</v>
      </c>
      <c r="C1113" s="19" t="n">
        <v>19</v>
      </c>
      <c r="D1113" s="23" t="n">
        <v>0</v>
      </c>
      <c r="E1113" s="19" t="s">
        <v>135</v>
      </c>
      <c r="F1113" s="19" t="s">
        <v>161</v>
      </c>
      <c r="G1113" s="19" t="s">
        <v>935</v>
      </c>
      <c r="H1113" s="19"/>
      <c r="I1113" s="24" t="n">
        <f aca="false">IF(AND(ISNUMBER(B1113),ISNUMBER(D1113)),B1113*D1113,0)</f>
        <v>0</v>
      </c>
    </row>
    <row r="1114" customFormat="false" ht="15" hidden="false" customHeight="false" outlineLevel="0" collapsed="false">
      <c r="A1114" s="19" t="s">
        <v>1240</v>
      </c>
      <c r="B1114" s="22" t="n">
        <v>140</v>
      </c>
      <c r="C1114" s="19" t="n">
        <v>21</v>
      </c>
      <c r="D1114" s="23" t="n">
        <v>0.55</v>
      </c>
      <c r="E1114" s="19" t="s">
        <v>135</v>
      </c>
      <c r="F1114" s="19" t="s">
        <v>161</v>
      </c>
      <c r="G1114" s="19" t="s">
        <v>935</v>
      </c>
      <c r="H1114" s="19"/>
      <c r="I1114" s="24" t="n">
        <f aca="false">IF(AND(ISNUMBER(B1114),ISNUMBER(D1114)),B1114*D1114,0)</f>
        <v>77</v>
      </c>
    </row>
    <row r="1115" customFormat="false" ht="15" hidden="false" customHeight="false" outlineLevel="0" collapsed="false">
      <c r="A1115" s="19" t="s">
        <v>1241</v>
      </c>
      <c r="B1115" s="22" t="n">
        <v>140</v>
      </c>
      <c r="C1115" s="19" t="n">
        <v>14</v>
      </c>
      <c r="D1115" s="23" t="n">
        <v>1.37</v>
      </c>
      <c r="E1115" s="19" t="s">
        <v>145</v>
      </c>
      <c r="F1115" s="19" t="s">
        <v>161</v>
      </c>
      <c r="G1115" s="19" t="s">
        <v>935</v>
      </c>
      <c r="H1115" s="19"/>
      <c r="I1115" s="24" t="n">
        <f aca="false">IF(AND(ISNUMBER(B1115),ISNUMBER(D1115)),B1115*D1115,0)</f>
        <v>191.8</v>
      </c>
    </row>
    <row r="1116" customFormat="false" ht="15" hidden="false" customHeight="false" outlineLevel="0" collapsed="false">
      <c r="A1116" s="19" t="s">
        <v>1242</v>
      </c>
      <c r="B1116" s="22" t="n">
        <v>140</v>
      </c>
      <c r="C1116" s="19" t="n">
        <v>15</v>
      </c>
      <c r="D1116" s="23" t="n">
        <v>0.39</v>
      </c>
      <c r="E1116" s="19" t="s">
        <v>135</v>
      </c>
      <c r="F1116" s="19" t="s">
        <v>140</v>
      </c>
      <c r="G1116" s="19" t="s">
        <v>935</v>
      </c>
      <c r="H1116" s="19"/>
      <c r="I1116" s="24" t="n">
        <f aca="false">IF(AND(ISNUMBER(B1116),ISNUMBER(D1116)),B1116*D1116,0)</f>
        <v>54.6</v>
      </c>
    </row>
    <row r="1117" customFormat="false" ht="15" hidden="false" customHeight="false" outlineLevel="0" collapsed="false">
      <c r="A1117" s="19" t="s">
        <v>1243</v>
      </c>
      <c r="B1117" s="22" t="n">
        <v>140</v>
      </c>
      <c r="C1117" s="19" t="n">
        <v>10</v>
      </c>
      <c r="D1117" s="23" t="n">
        <v>0.78</v>
      </c>
      <c r="E1117" s="19" t="s">
        <v>135</v>
      </c>
      <c r="F1117" s="19" t="s">
        <v>136</v>
      </c>
      <c r="G1117" s="19" t="s">
        <v>935</v>
      </c>
      <c r="H1117" s="19"/>
      <c r="I1117" s="24" t="n">
        <f aca="false">IF(AND(ISNUMBER(B1117),ISNUMBER(D1117)),B1117*D1117,0)</f>
        <v>109.2</v>
      </c>
    </row>
    <row r="1118" customFormat="false" ht="15" hidden="false" customHeight="false" outlineLevel="0" collapsed="false">
      <c r="A1118" s="19" t="s">
        <v>1244</v>
      </c>
      <c r="B1118" s="22" t="n">
        <v>140</v>
      </c>
      <c r="C1118" s="19" t="n">
        <v>7</v>
      </c>
      <c r="D1118" s="23" t="n">
        <v>0.27</v>
      </c>
      <c r="E1118" s="19" t="s">
        <v>135</v>
      </c>
      <c r="F1118" s="19" t="s">
        <v>136</v>
      </c>
      <c r="G1118" s="19" t="s">
        <v>935</v>
      </c>
      <c r="H1118" s="19"/>
      <c r="I1118" s="24" t="n">
        <f aca="false">IF(AND(ISNUMBER(B1118),ISNUMBER(D1118)),B1118*D1118,0)</f>
        <v>37.8</v>
      </c>
    </row>
    <row r="1119" customFormat="false" ht="15" hidden="false" customHeight="false" outlineLevel="0" collapsed="false">
      <c r="A1119" s="19" t="s">
        <v>1245</v>
      </c>
      <c r="B1119" s="22" t="n">
        <v>140</v>
      </c>
      <c r="C1119" s="19" t="n">
        <v>10</v>
      </c>
      <c r="D1119" s="23" t="n">
        <v>0.45</v>
      </c>
      <c r="E1119" s="19" t="s">
        <v>135</v>
      </c>
      <c r="F1119" s="19" t="s">
        <v>136</v>
      </c>
      <c r="G1119" s="19" t="s">
        <v>935</v>
      </c>
      <c r="H1119" s="19"/>
      <c r="I1119" s="24" t="n">
        <f aca="false">IF(AND(ISNUMBER(B1119),ISNUMBER(D1119)),B1119*D1119,0)</f>
        <v>63</v>
      </c>
    </row>
    <row r="1120" customFormat="false" ht="15" hidden="false" customHeight="false" outlineLevel="0" collapsed="false">
      <c r="A1120" s="19" t="s">
        <v>1246</v>
      </c>
      <c r="B1120" s="22" t="n">
        <v>140</v>
      </c>
      <c r="C1120" s="19" t="n">
        <v>23</v>
      </c>
      <c r="D1120" s="23" t="n">
        <v>0.28</v>
      </c>
      <c r="E1120" s="19" t="s">
        <v>135</v>
      </c>
      <c r="F1120" s="19" t="s">
        <v>136</v>
      </c>
      <c r="G1120" s="19" t="s">
        <v>935</v>
      </c>
      <c r="H1120" s="19"/>
      <c r="I1120" s="24" t="n">
        <f aca="false">IF(AND(ISNUMBER(B1120),ISNUMBER(D1120)),B1120*D1120,0)</f>
        <v>39.2</v>
      </c>
    </row>
    <row r="1121" customFormat="false" ht="15" hidden="false" customHeight="false" outlineLevel="0" collapsed="false">
      <c r="A1121" s="19" t="s">
        <v>1247</v>
      </c>
      <c r="B1121" s="22" t="n">
        <v>140</v>
      </c>
      <c r="C1121" s="19" t="n">
        <v>26</v>
      </c>
      <c r="D1121" s="23" t="n">
        <v>1.32</v>
      </c>
      <c r="E1121" s="19" t="s">
        <v>135</v>
      </c>
      <c r="F1121" s="19" t="s">
        <v>136</v>
      </c>
      <c r="G1121" s="19" t="s">
        <v>935</v>
      </c>
      <c r="H1121" s="19"/>
      <c r="I1121" s="24" t="n">
        <f aca="false">IF(AND(ISNUMBER(B1121),ISNUMBER(D1121)),B1121*D1121,0)</f>
        <v>184.8</v>
      </c>
    </row>
    <row r="1122" customFormat="false" ht="15" hidden="false" customHeight="false" outlineLevel="0" collapsed="false">
      <c r="A1122" s="19" t="s">
        <v>1248</v>
      </c>
      <c r="B1122" s="22" t="n">
        <v>140</v>
      </c>
      <c r="C1122" s="19" t="n">
        <v>18</v>
      </c>
      <c r="D1122" s="23" t="n">
        <v>0</v>
      </c>
      <c r="E1122" s="19" t="s">
        <v>135</v>
      </c>
      <c r="F1122" s="19" t="s">
        <v>136</v>
      </c>
      <c r="G1122" s="19" t="s">
        <v>935</v>
      </c>
      <c r="H1122" s="19"/>
      <c r="I1122" s="24" t="n">
        <f aca="false">IF(AND(ISNUMBER(B1122),ISNUMBER(D1122)),B1122*D1122,0)</f>
        <v>0</v>
      </c>
    </row>
    <row r="1123" customFormat="false" ht="15" hidden="false" customHeight="false" outlineLevel="0" collapsed="false">
      <c r="A1123" s="19" t="s">
        <v>1249</v>
      </c>
      <c r="B1123" s="22" t="n">
        <v>140</v>
      </c>
      <c r="C1123" s="19" t="n">
        <v>22</v>
      </c>
      <c r="D1123" s="23" t="n">
        <v>0</v>
      </c>
      <c r="E1123" s="19" t="s">
        <v>135</v>
      </c>
      <c r="F1123" s="19" t="s">
        <v>136</v>
      </c>
      <c r="G1123" s="19" t="s">
        <v>935</v>
      </c>
      <c r="H1123" s="19"/>
      <c r="I1123" s="24" t="n">
        <f aca="false">IF(AND(ISNUMBER(B1123),ISNUMBER(D1123)),B1123*D1123,0)</f>
        <v>0</v>
      </c>
    </row>
    <row r="1124" customFormat="false" ht="15" hidden="false" customHeight="false" outlineLevel="0" collapsed="false">
      <c r="A1124" s="19" t="s">
        <v>1250</v>
      </c>
      <c r="B1124" s="22" t="n">
        <v>140</v>
      </c>
      <c r="C1124" s="19" t="n">
        <v>10</v>
      </c>
      <c r="D1124" s="23" t="n">
        <v>0.37</v>
      </c>
      <c r="E1124" s="19" t="s">
        <v>135</v>
      </c>
      <c r="F1124" s="19" t="s">
        <v>136</v>
      </c>
      <c r="G1124" s="19" t="s">
        <v>935</v>
      </c>
      <c r="H1124" s="19"/>
      <c r="I1124" s="24" t="n">
        <f aca="false">IF(AND(ISNUMBER(B1124),ISNUMBER(D1124)),B1124*D1124,0)</f>
        <v>51.8</v>
      </c>
    </row>
    <row r="1125" customFormat="false" ht="15" hidden="false" customHeight="false" outlineLevel="0" collapsed="false">
      <c r="A1125" s="19" t="s">
        <v>1251</v>
      </c>
      <c r="B1125" s="22" t="n">
        <v>110</v>
      </c>
      <c r="C1125" s="19" t="n">
        <v>26</v>
      </c>
      <c r="D1125" s="23" t="n">
        <v>0</v>
      </c>
      <c r="E1125" s="19" t="s">
        <v>575</v>
      </c>
      <c r="F1125" s="19" t="s">
        <v>140</v>
      </c>
      <c r="G1125" s="19" t="s">
        <v>935</v>
      </c>
      <c r="H1125" s="19"/>
      <c r="I1125" s="24" t="n">
        <f aca="false">IF(AND(ISNUMBER(B1125),ISNUMBER(D1125)),B1125*D1125,0)</f>
        <v>0</v>
      </c>
    </row>
    <row r="1126" customFormat="false" ht="15" hidden="false" customHeight="false" outlineLevel="0" collapsed="false">
      <c r="A1126" s="19" t="s">
        <v>1252</v>
      </c>
      <c r="B1126" s="22" t="n">
        <v>110</v>
      </c>
      <c r="C1126" s="19" t="n">
        <v>20</v>
      </c>
      <c r="D1126" s="23" t="n">
        <v>0.71</v>
      </c>
      <c r="E1126" s="19" t="s">
        <v>168</v>
      </c>
      <c r="F1126" s="19" t="s">
        <v>140</v>
      </c>
      <c r="G1126" s="19" t="s">
        <v>935</v>
      </c>
      <c r="H1126" s="19"/>
      <c r="I1126" s="24" t="n">
        <f aca="false">IF(AND(ISNUMBER(B1126),ISNUMBER(D1126)),B1126*D1126,0)</f>
        <v>78.1</v>
      </c>
    </row>
    <row r="1127" customFormat="false" ht="15" hidden="false" customHeight="false" outlineLevel="0" collapsed="false">
      <c r="A1127" s="19" t="s">
        <v>1253</v>
      </c>
      <c r="B1127" s="22" t="n">
        <v>110</v>
      </c>
      <c r="C1127" s="19" t="n">
        <v>26</v>
      </c>
      <c r="D1127" s="23" t="n">
        <v>0.54</v>
      </c>
      <c r="E1127" s="19" t="s">
        <v>168</v>
      </c>
      <c r="F1127" s="19" t="s">
        <v>140</v>
      </c>
      <c r="G1127" s="19" t="s">
        <v>935</v>
      </c>
      <c r="H1127" s="19"/>
      <c r="I1127" s="24" t="n">
        <f aca="false">IF(AND(ISNUMBER(B1127),ISNUMBER(D1127)),B1127*D1127,0)</f>
        <v>59.4</v>
      </c>
    </row>
    <row r="1128" customFormat="false" ht="15" hidden="false" customHeight="false" outlineLevel="0" collapsed="false">
      <c r="A1128" s="19" t="s">
        <v>1254</v>
      </c>
      <c r="B1128" s="22" t="n">
        <v>110</v>
      </c>
      <c r="C1128" s="19" t="n">
        <v>22</v>
      </c>
      <c r="D1128" s="23" t="n">
        <v>1</v>
      </c>
      <c r="E1128" s="19" t="s">
        <v>168</v>
      </c>
      <c r="F1128" s="19" t="s">
        <v>140</v>
      </c>
      <c r="G1128" s="19" t="s">
        <v>935</v>
      </c>
      <c r="H1128" s="19"/>
      <c r="I1128" s="24" t="n">
        <f aca="false">IF(AND(ISNUMBER(B1128),ISNUMBER(D1128)),B1128*D1128,0)</f>
        <v>110</v>
      </c>
    </row>
    <row r="1129" customFormat="false" ht="15" hidden="false" customHeight="false" outlineLevel="0" collapsed="false">
      <c r="A1129" s="19" t="s">
        <v>1255</v>
      </c>
      <c r="B1129" s="22" t="n">
        <v>110</v>
      </c>
      <c r="C1129" s="19" t="n">
        <v>25</v>
      </c>
      <c r="D1129" s="23" t="n">
        <v>0.54</v>
      </c>
      <c r="E1129" s="19" t="s">
        <v>168</v>
      </c>
      <c r="F1129" s="19" t="s">
        <v>140</v>
      </c>
      <c r="G1129" s="19" t="s">
        <v>935</v>
      </c>
      <c r="H1129" s="19"/>
      <c r="I1129" s="24" t="n">
        <f aca="false">IF(AND(ISNUMBER(B1129),ISNUMBER(D1129)),B1129*D1129,0)</f>
        <v>59.4</v>
      </c>
    </row>
    <row r="1130" customFormat="false" ht="15" hidden="false" customHeight="false" outlineLevel="0" collapsed="false">
      <c r="A1130" s="19" t="s">
        <v>1256</v>
      </c>
      <c r="B1130" s="22" t="n">
        <v>110</v>
      </c>
      <c r="C1130" s="19" t="n">
        <v>21</v>
      </c>
      <c r="D1130" s="23" t="n">
        <v>1.04</v>
      </c>
      <c r="E1130" s="19" t="s">
        <v>168</v>
      </c>
      <c r="F1130" s="19" t="s">
        <v>140</v>
      </c>
      <c r="G1130" s="19" t="s">
        <v>935</v>
      </c>
      <c r="H1130" s="19"/>
      <c r="I1130" s="24" t="n">
        <f aca="false">IF(AND(ISNUMBER(B1130),ISNUMBER(D1130)),B1130*D1130,0)</f>
        <v>114.4</v>
      </c>
    </row>
    <row r="1131" customFormat="false" ht="15" hidden="false" customHeight="false" outlineLevel="0" collapsed="false">
      <c r="A1131" s="19" t="s">
        <v>1257</v>
      </c>
      <c r="B1131" s="22" t="n">
        <v>110</v>
      </c>
      <c r="C1131" s="19" t="n">
        <v>25</v>
      </c>
      <c r="D1131" s="23" t="n">
        <v>0.75</v>
      </c>
      <c r="E1131" s="19" t="s">
        <v>168</v>
      </c>
      <c r="F1131" s="19" t="s">
        <v>140</v>
      </c>
      <c r="G1131" s="19" t="s">
        <v>935</v>
      </c>
      <c r="H1131" s="19"/>
      <c r="I1131" s="24" t="n">
        <f aca="false">IF(AND(ISNUMBER(B1131),ISNUMBER(D1131)),B1131*D1131,0)</f>
        <v>82.5</v>
      </c>
    </row>
    <row r="1132" customFormat="false" ht="15" hidden="false" customHeight="false" outlineLevel="0" collapsed="false">
      <c r="A1132" s="19" t="s">
        <v>1258</v>
      </c>
      <c r="B1132" s="22" t="n">
        <v>110</v>
      </c>
      <c r="C1132" s="19" t="n">
        <v>20</v>
      </c>
      <c r="D1132" s="23" t="n">
        <v>0.62</v>
      </c>
      <c r="E1132" s="19" t="s">
        <v>168</v>
      </c>
      <c r="F1132" s="19" t="s">
        <v>140</v>
      </c>
      <c r="G1132" s="19" t="s">
        <v>935</v>
      </c>
      <c r="H1132" s="19"/>
      <c r="I1132" s="24" t="n">
        <f aca="false">IF(AND(ISNUMBER(B1132),ISNUMBER(D1132)),B1132*D1132,0)</f>
        <v>68.2</v>
      </c>
    </row>
    <row r="1133" customFormat="false" ht="15" hidden="false" customHeight="false" outlineLevel="0" collapsed="false">
      <c r="A1133" s="19" t="s">
        <v>1259</v>
      </c>
      <c r="B1133" s="22" t="n">
        <v>110</v>
      </c>
      <c r="C1133" s="19" t="n">
        <v>27</v>
      </c>
      <c r="D1133" s="23" t="n">
        <v>0.57</v>
      </c>
      <c r="E1133" s="19" t="s">
        <v>185</v>
      </c>
      <c r="F1133" s="19" t="s">
        <v>140</v>
      </c>
      <c r="G1133" s="19" t="s">
        <v>935</v>
      </c>
      <c r="H1133" s="19"/>
      <c r="I1133" s="24" t="n">
        <f aca="false">IF(AND(ISNUMBER(B1133),ISNUMBER(D1133)),B1133*D1133,0)</f>
        <v>62.7</v>
      </c>
    </row>
    <row r="1134" customFormat="false" ht="15" hidden="false" customHeight="false" outlineLevel="0" collapsed="false">
      <c r="A1134" s="19" t="s">
        <v>1260</v>
      </c>
      <c r="B1134" s="22" t="n">
        <v>110</v>
      </c>
      <c r="C1134" s="19" t="n">
        <v>23</v>
      </c>
      <c r="D1134" s="23" t="n">
        <v>0.43</v>
      </c>
      <c r="E1134" s="19" t="s">
        <v>1261</v>
      </c>
      <c r="F1134" s="19" t="s">
        <v>140</v>
      </c>
      <c r="G1134" s="19" t="s">
        <v>935</v>
      </c>
      <c r="H1134" s="19"/>
      <c r="I1134" s="24" t="n">
        <f aca="false">IF(AND(ISNUMBER(B1134),ISNUMBER(D1134)),B1134*D1134,0)</f>
        <v>47.3</v>
      </c>
    </row>
    <row r="1135" customFormat="false" ht="15" hidden="false" customHeight="false" outlineLevel="0" collapsed="false">
      <c r="A1135" s="19" t="s">
        <v>1262</v>
      </c>
      <c r="B1135" s="22" t="n">
        <v>110</v>
      </c>
      <c r="C1135" s="19" t="n">
        <v>17</v>
      </c>
      <c r="D1135" s="23" t="n">
        <v>0.66</v>
      </c>
      <c r="E1135" s="19" t="s">
        <v>168</v>
      </c>
      <c r="F1135" s="19" t="s">
        <v>140</v>
      </c>
      <c r="G1135" s="19" t="s">
        <v>935</v>
      </c>
      <c r="H1135" s="19"/>
      <c r="I1135" s="24" t="n">
        <f aca="false">IF(AND(ISNUMBER(B1135),ISNUMBER(D1135)),B1135*D1135,0)</f>
        <v>72.6</v>
      </c>
    </row>
    <row r="1136" customFormat="false" ht="15" hidden="false" customHeight="false" outlineLevel="0" collapsed="false">
      <c r="A1136" s="19" t="s">
        <v>1263</v>
      </c>
      <c r="B1136" s="22" t="n">
        <v>110</v>
      </c>
      <c r="C1136" s="19" t="n">
        <v>27</v>
      </c>
      <c r="D1136" s="23" t="n">
        <v>0.67</v>
      </c>
      <c r="E1136" s="19" t="s">
        <v>168</v>
      </c>
      <c r="F1136" s="19" t="s">
        <v>140</v>
      </c>
      <c r="G1136" s="19" t="s">
        <v>935</v>
      </c>
      <c r="H1136" s="19"/>
      <c r="I1136" s="24" t="n">
        <f aca="false">IF(AND(ISNUMBER(B1136),ISNUMBER(D1136)),B1136*D1136,0)</f>
        <v>73.7</v>
      </c>
    </row>
    <row r="1137" customFormat="false" ht="15" hidden="false" customHeight="false" outlineLevel="0" collapsed="false">
      <c r="A1137" s="19" t="s">
        <v>1264</v>
      </c>
      <c r="B1137" s="22" t="n">
        <v>110</v>
      </c>
      <c r="C1137" s="19" t="n">
        <v>18</v>
      </c>
      <c r="D1137" s="23" t="n">
        <v>0.39</v>
      </c>
      <c r="E1137" s="19" t="s">
        <v>135</v>
      </c>
      <c r="F1137" s="19" t="s">
        <v>140</v>
      </c>
      <c r="G1137" s="19" t="s">
        <v>935</v>
      </c>
      <c r="H1137" s="19"/>
      <c r="I1137" s="24" t="n">
        <f aca="false">IF(AND(ISNUMBER(B1137),ISNUMBER(D1137)),B1137*D1137,0)</f>
        <v>42.9</v>
      </c>
    </row>
    <row r="1138" customFormat="false" ht="15" hidden="false" customHeight="false" outlineLevel="0" collapsed="false">
      <c r="A1138" s="19" t="s">
        <v>1265</v>
      </c>
      <c r="B1138" s="22" t="n">
        <v>110</v>
      </c>
      <c r="C1138" s="19" t="n">
        <v>15</v>
      </c>
      <c r="D1138" s="23" t="n">
        <v>0.66</v>
      </c>
      <c r="E1138" s="19" t="s">
        <v>135</v>
      </c>
      <c r="F1138" s="19" t="s">
        <v>140</v>
      </c>
      <c r="G1138" s="19" t="s">
        <v>935</v>
      </c>
      <c r="H1138" s="19"/>
      <c r="I1138" s="24" t="n">
        <f aca="false">IF(AND(ISNUMBER(B1138),ISNUMBER(D1138)),B1138*D1138,0)</f>
        <v>72.6</v>
      </c>
    </row>
    <row r="1139" customFormat="false" ht="15" hidden="false" customHeight="false" outlineLevel="0" collapsed="false">
      <c r="A1139" s="19" t="s">
        <v>1266</v>
      </c>
      <c r="B1139" s="22" t="n">
        <v>110</v>
      </c>
      <c r="C1139" s="19" t="n">
        <v>22</v>
      </c>
      <c r="D1139" s="23" t="n">
        <v>0.48</v>
      </c>
      <c r="E1139" s="19" t="s">
        <v>168</v>
      </c>
      <c r="F1139" s="19" t="s">
        <v>161</v>
      </c>
      <c r="G1139" s="19" t="s">
        <v>935</v>
      </c>
      <c r="H1139" s="19"/>
      <c r="I1139" s="24" t="n">
        <f aca="false">IF(AND(ISNUMBER(B1139),ISNUMBER(D1139)),B1139*D1139,0)</f>
        <v>52.8</v>
      </c>
    </row>
    <row r="1140" customFormat="false" ht="15" hidden="false" customHeight="false" outlineLevel="0" collapsed="false">
      <c r="A1140" s="19" t="s">
        <v>1267</v>
      </c>
      <c r="B1140" s="22" t="n">
        <v>110</v>
      </c>
      <c r="C1140" s="19" t="n">
        <v>25</v>
      </c>
      <c r="D1140" s="23" t="n">
        <v>0.59</v>
      </c>
      <c r="E1140" s="19" t="s">
        <v>168</v>
      </c>
      <c r="F1140" s="19" t="s">
        <v>161</v>
      </c>
      <c r="G1140" s="19" t="s">
        <v>935</v>
      </c>
      <c r="H1140" s="19"/>
      <c r="I1140" s="24" t="n">
        <f aca="false">IF(AND(ISNUMBER(B1140),ISNUMBER(D1140)),B1140*D1140,0)</f>
        <v>64.9</v>
      </c>
    </row>
    <row r="1141" customFormat="false" ht="15" hidden="false" customHeight="false" outlineLevel="0" collapsed="false">
      <c r="A1141" s="19" t="s">
        <v>1268</v>
      </c>
      <c r="B1141" s="22" t="n">
        <v>110</v>
      </c>
      <c r="C1141" s="19" t="n">
        <v>19</v>
      </c>
      <c r="D1141" s="23" t="n">
        <v>0.28</v>
      </c>
      <c r="E1141" s="19" t="s">
        <v>135</v>
      </c>
      <c r="F1141" s="19" t="s">
        <v>161</v>
      </c>
      <c r="G1141" s="19" t="s">
        <v>935</v>
      </c>
      <c r="H1141" s="19"/>
      <c r="I1141" s="24" t="n">
        <f aca="false">IF(AND(ISNUMBER(B1141),ISNUMBER(D1141)),B1141*D1141,0)</f>
        <v>30.8</v>
      </c>
    </row>
    <row r="1142" customFormat="false" ht="15" hidden="false" customHeight="false" outlineLevel="0" collapsed="false">
      <c r="A1142" s="19" t="s">
        <v>1269</v>
      </c>
      <c r="B1142" s="22" t="n">
        <v>110</v>
      </c>
      <c r="C1142" s="19" t="n">
        <v>17</v>
      </c>
      <c r="D1142" s="23" t="n">
        <v>0</v>
      </c>
      <c r="E1142" s="19" t="s">
        <v>135</v>
      </c>
      <c r="F1142" s="19" t="s">
        <v>161</v>
      </c>
      <c r="G1142" s="19" t="s">
        <v>935</v>
      </c>
      <c r="H1142" s="19"/>
      <c r="I1142" s="24" t="n">
        <f aca="false">IF(AND(ISNUMBER(B1142),ISNUMBER(D1142)),B1142*D1142,0)</f>
        <v>0</v>
      </c>
    </row>
    <row r="1143" customFormat="false" ht="15" hidden="false" customHeight="false" outlineLevel="0" collapsed="false">
      <c r="A1143" s="19" t="s">
        <v>1270</v>
      </c>
      <c r="B1143" s="22" t="n">
        <v>110</v>
      </c>
      <c r="C1143" s="19" t="n">
        <v>29</v>
      </c>
      <c r="D1143" s="23" t="n">
        <v>0.28</v>
      </c>
      <c r="E1143" s="19" t="s">
        <v>135</v>
      </c>
      <c r="F1143" s="19" t="s">
        <v>161</v>
      </c>
      <c r="G1143" s="19" t="s">
        <v>935</v>
      </c>
      <c r="H1143" s="19"/>
      <c r="I1143" s="24" t="n">
        <f aca="false">IF(AND(ISNUMBER(B1143),ISNUMBER(D1143)),B1143*D1143,0)</f>
        <v>30.8</v>
      </c>
    </row>
    <row r="1144" customFormat="false" ht="15" hidden="false" customHeight="false" outlineLevel="0" collapsed="false">
      <c r="A1144" s="19" t="s">
        <v>1271</v>
      </c>
      <c r="B1144" s="22" t="n">
        <v>110</v>
      </c>
      <c r="C1144" s="19" t="n">
        <v>11</v>
      </c>
      <c r="D1144" s="23" t="n">
        <v>0.54</v>
      </c>
      <c r="E1144" s="19" t="s">
        <v>135</v>
      </c>
      <c r="F1144" s="19" t="s">
        <v>161</v>
      </c>
      <c r="G1144" s="19" t="s">
        <v>935</v>
      </c>
      <c r="H1144" s="19"/>
      <c r="I1144" s="24" t="n">
        <f aca="false">IF(AND(ISNUMBER(B1144),ISNUMBER(D1144)),B1144*D1144,0)</f>
        <v>59.4</v>
      </c>
    </row>
    <row r="1145" customFormat="false" ht="15" hidden="false" customHeight="false" outlineLevel="0" collapsed="false">
      <c r="A1145" s="19" t="s">
        <v>1272</v>
      </c>
      <c r="B1145" s="22" t="n">
        <v>110</v>
      </c>
      <c r="C1145" s="19" t="n">
        <v>11</v>
      </c>
      <c r="D1145" s="23" t="n">
        <v>0.74</v>
      </c>
      <c r="E1145" s="19" t="s">
        <v>145</v>
      </c>
      <c r="F1145" s="19" t="s">
        <v>161</v>
      </c>
      <c r="G1145" s="19" t="s">
        <v>935</v>
      </c>
      <c r="H1145" s="19"/>
      <c r="I1145" s="24" t="n">
        <f aca="false">IF(AND(ISNUMBER(B1145),ISNUMBER(D1145)),B1145*D1145,0)</f>
        <v>81.4</v>
      </c>
    </row>
    <row r="1146" customFormat="false" ht="15" hidden="false" customHeight="false" outlineLevel="0" collapsed="false">
      <c r="A1146" s="19" t="s">
        <v>1273</v>
      </c>
      <c r="B1146" s="22" t="n">
        <v>110</v>
      </c>
      <c r="C1146" s="19" t="n">
        <v>10</v>
      </c>
      <c r="D1146" s="23" t="n">
        <v>0.74</v>
      </c>
      <c r="E1146" s="19" t="s">
        <v>135</v>
      </c>
      <c r="F1146" s="19" t="s">
        <v>161</v>
      </c>
      <c r="G1146" s="19" t="s">
        <v>935</v>
      </c>
      <c r="H1146" s="19"/>
      <c r="I1146" s="24" t="n">
        <f aca="false">IF(AND(ISNUMBER(B1146),ISNUMBER(D1146)),B1146*D1146,0)</f>
        <v>81.4</v>
      </c>
    </row>
    <row r="1147" customFormat="false" ht="15" hidden="false" customHeight="false" outlineLevel="0" collapsed="false">
      <c r="A1147" s="19" t="s">
        <v>1274</v>
      </c>
      <c r="B1147" s="22" t="n">
        <v>110</v>
      </c>
      <c r="C1147" s="19" t="n">
        <v>17</v>
      </c>
      <c r="D1147" s="23" t="n">
        <v>0.33</v>
      </c>
      <c r="E1147" s="19" t="s">
        <v>135</v>
      </c>
      <c r="F1147" s="19" t="s">
        <v>161</v>
      </c>
      <c r="G1147" s="19" t="s">
        <v>935</v>
      </c>
      <c r="H1147" s="19"/>
      <c r="I1147" s="24" t="n">
        <f aca="false">IF(AND(ISNUMBER(B1147),ISNUMBER(D1147)),B1147*D1147,0)</f>
        <v>36.3</v>
      </c>
    </row>
    <row r="1148" customFormat="false" ht="15" hidden="false" customHeight="false" outlineLevel="0" collapsed="false">
      <c r="A1148" s="19" t="s">
        <v>1275</v>
      </c>
      <c r="B1148" s="22" t="n">
        <v>110</v>
      </c>
      <c r="C1148" s="19" t="n">
        <v>17</v>
      </c>
      <c r="D1148" s="23" t="n">
        <v>1.67</v>
      </c>
      <c r="E1148" s="19" t="s">
        <v>135</v>
      </c>
      <c r="F1148" s="19" t="s">
        <v>161</v>
      </c>
      <c r="G1148" s="19" t="s">
        <v>935</v>
      </c>
      <c r="H1148" s="19"/>
      <c r="I1148" s="24" t="n">
        <f aca="false">IF(AND(ISNUMBER(B1148),ISNUMBER(D1148)),B1148*D1148,0)</f>
        <v>183.7</v>
      </c>
    </row>
    <row r="1149" customFormat="false" ht="15" hidden="false" customHeight="false" outlineLevel="0" collapsed="false">
      <c r="A1149" s="19" t="s">
        <v>1276</v>
      </c>
      <c r="B1149" s="22" t="n">
        <v>110</v>
      </c>
      <c r="C1149" s="19" t="n">
        <v>16</v>
      </c>
      <c r="D1149" s="23" t="n">
        <v>0.24</v>
      </c>
      <c r="E1149" s="19" t="s">
        <v>135</v>
      </c>
      <c r="F1149" s="19" t="s">
        <v>161</v>
      </c>
      <c r="G1149" s="19" t="s">
        <v>935</v>
      </c>
      <c r="H1149" s="19"/>
      <c r="I1149" s="24" t="n">
        <f aca="false">IF(AND(ISNUMBER(B1149),ISNUMBER(D1149)),B1149*D1149,0)</f>
        <v>26.4</v>
      </c>
    </row>
    <row r="1150" customFormat="false" ht="15" hidden="false" customHeight="false" outlineLevel="0" collapsed="false">
      <c r="A1150" s="19" t="s">
        <v>1277</v>
      </c>
      <c r="B1150" s="22" t="n">
        <v>110</v>
      </c>
      <c r="C1150" s="19" t="n">
        <v>23</v>
      </c>
      <c r="D1150" s="23" t="n">
        <v>0</v>
      </c>
      <c r="E1150" s="19" t="s">
        <v>135</v>
      </c>
      <c r="F1150" s="19" t="s">
        <v>161</v>
      </c>
      <c r="G1150" s="19" t="s">
        <v>935</v>
      </c>
      <c r="H1150" s="19"/>
      <c r="I1150" s="24" t="n">
        <f aca="false">IF(AND(ISNUMBER(B1150),ISNUMBER(D1150)),B1150*D1150,0)</f>
        <v>0</v>
      </c>
    </row>
    <row r="1151" customFormat="false" ht="15" hidden="false" customHeight="false" outlineLevel="0" collapsed="false">
      <c r="A1151" s="19" t="s">
        <v>1278</v>
      </c>
      <c r="B1151" s="22" t="n">
        <v>110</v>
      </c>
      <c r="C1151" s="19" t="n">
        <v>11</v>
      </c>
      <c r="D1151" s="23" t="n">
        <v>0.5</v>
      </c>
      <c r="E1151" s="19" t="s">
        <v>135</v>
      </c>
      <c r="F1151" s="19" t="s">
        <v>161</v>
      </c>
      <c r="G1151" s="19" t="s">
        <v>935</v>
      </c>
      <c r="H1151" s="19"/>
      <c r="I1151" s="24" t="n">
        <f aca="false">IF(AND(ISNUMBER(B1151),ISNUMBER(D1151)),B1151*D1151,0)</f>
        <v>55</v>
      </c>
    </row>
    <row r="1152" customFormat="false" ht="15" hidden="false" customHeight="false" outlineLevel="0" collapsed="false">
      <c r="A1152" s="19" t="s">
        <v>1279</v>
      </c>
      <c r="B1152" s="22" t="n">
        <v>110</v>
      </c>
      <c r="C1152" s="19" t="n">
        <v>17</v>
      </c>
      <c r="D1152" s="23" t="n">
        <v>0.54</v>
      </c>
      <c r="E1152" s="19" t="s">
        <v>135</v>
      </c>
      <c r="F1152" s="19" t="s">
        <v>161</v>
      </c>
      <c r="G1152" s="19" t="s">
        <v>935</v>
      </c>
      <c r="H1152" s="19"/>
      <c r="I1152" s="24" t="n">
        <f aca="false">IF(AND(ISNUMBER(B1152),ISNUMBER(D1152)),B1152*D1152,0)</f>
        <v>59.4</v>
      </c>
    </row>
    <row r="1153" customFormat="false" ht="15" hidden="false" customHeight="false" outlineLevel="0" collapsed="false">
      <c r="A1153" s="19" t="s">
        <v>1280</v>
      </c>
      <c r="B1153" s="22" t="n">
        <v>110</v>
      </c>
      <c r="C1153" s="19" t="n">
        <v>19</v>
      </c>
      <c r="D1153" s="23" t="n">
        <v>0.26</v>
      </c>
      <c r="E1153" s="19" t="s">
        <v>135</v>
      </c>
      <c r="F1153" s="19" t="s">
        <v>161</v>
      </c>
      <c r="G1153" s="19" t="s">
        <v>935</v>
      </c>
      <c r="H1153" s="19"/>
      <c r="I1153" s="24" t="n">
        <f aca="false">IF(AND(ISNUMBER(B1153),ISNUMBER(D1153)),B1153*D1153,0)</f>
        <v>28.6</v>
      </c>
    </row>
    <row r="1154" customFormat="false" ht="15" hidden="false" customHeight="false" outlineLevel="0" collapsed="false">
      <c r="A1154" s="19" t="s">
        <v>1281</v>
      </c>
      <c r="B1154" s="22" t="n">
        <v>110</v>
      </c>
      <c r="C1154" s="19" t="n">
        <v>16</v>
      </c>
      <c r="D1154" s="23" t="n">
        <v>1.67</v>
      </c>
      <c r="E1154" s="19" t="s">
        <v>135</v>
      </c>
      <c r="F1154" s="19" t="s">
        <v>161</v>
      </c>
      <c r="G1154" s="19" t="s">
        <v>935</v>
      </c>
      <c r="H1154" s="19"/>
      <c r="I1154" s="24" t="n">
        <f aca="false">IF(AND(ISNUMBER(B1154),ISNUMBER(D1154)),B1154*D1154,0)</f>
        <v>183.7</v>
      </c>
    </row>
    <row r="1155" customFormat="false" ht="15" hidden="false" customHeight="false" outlineLevel="0" collapsed="false">
      <c r="A1155" s="19" t="s">
        <v>1282</v>
      </c>
      <c r="B1155" s="22" t="n">
        <v>110</v>
      </c>
      <c r="C1155" s="19" t="n">
        <v>22</v>
      </c>
      <c r="D1155" s="23" t="n">
        <v>0.43</v>
      </c>
      <c r="E1155" s="19" t="s">
        <v>135</v>
      </c>
      <c r="F1155" s="19" t="s">
        <v>161</v>
      </c>
      <c r="G1155" s="19" t="s">
        <v>935</v>
      </c>
      <c r="H1155" s="19"/>
      <c r="I1155" s="24" t="n">
        <f aca="false">IF(AND(ISNUMBER(B1155),ISNUMBER(D1155)),B1155*D1155,0)</f>
        <v>47.3</v>
      </c>
    </row>
    <row r="1156" customFormat="false" ht="15" hidden="false" customHeight="false" outlineLevel="0" collapsed="false">
      <c r="A1156" s="19" t="s">
        <v>1283</v>
      </c>
      <c r="B1156" s="22" t="n">
        <v>110</v>
      </c>
      <c r="C1156" s="19" t="n">
        <v>18</v>
      </c>
      <c r="D1156" s="23" t="n">
        <v>0.46</v>
      </c>
      <c r="E1156" s="19" t="s">
        <v>135</v>
      </c>
      <c r="F1156" s="19" t="s">
        <v>136</v>
      </c>
      <c r="G1156" s="19" t="s">
        <v>935</v>
      </c>
      <c r="H1156" s="19"/>
      <c r="I1156" s="24" t="n">
        <f aca="false">IF(AND(ISNUMBER(B1156),ISNUMBER(D1156)),B1156*D1156,0)</f>
        <v>50.6</v>
      </c>
    </row>
    <row r="1157" customFormat="false" ht="15" hidden="false" customHeight="false" outlineLevel="0" collapsed="false">
      <c r="A1157" s="19" t="s">
        <v>1284</v>
      </c>
      <c r="B1157" s="22" t="n">
        <v>110</v>
      </c>
      <c r="C1157" s="19" t="n">
        <v>9</v>
      </c>
      <c r="D1157" s="23" t="n">
        <v>0.35</v>
      </c>
      <c r="E1157" s="19" t="s">
        <v>135</v>
      </c>
      <c r="F1157" s="19" t="s">
        <v>136</v>
      </c>
      <c r="G1157" s="19" t="s">
        <v>935</v>
      </c>
      <c r="H1157" s="19"/>
      <c r="I1157" s="24" t="n">
        <f aca="false">IF(AND(ISNUMBER(B1157),ISNUMBER(D1157)),B1157*D1157,0)</f>
        <v>38.5</v>
      </c>
    </row>
    <row r="1158" customFormat="false" ht="15" hidden="false" customHeight="false" outlineLevel="0" collapsed="false">
      <c r="A1158" s="19" t="s">
        <v>1285</v>
      </c>
      <c r="B1158" s="22" t="n">
        <v>110</v>
      </c>
      <c r="C1158" s="19" t="n">
        <v>23</v>
      </c>
      <c r="D1158" s="23" t="n">
        <v>0</v>
      </c>
      <c r="E1158" s="19" t="s">
        <v>135</v>
      </c>
      <c r="F1158" s="19" t="s">
        <v>136</v>
      </c>
      <c r="G1158" s="19" t="s">
        <v>935</v>
      </c>
      <c r="H1158" s="19"/>
      <c r="I1158" s="24" t="n">
        <f aca="false">IF(AND(ISNUMBER(B1158),ISNUMBER(D1158)),B1158*D1158,0)</f>
        <v>0</v>
      </c>
    </row>
    <row r="1159" customFormat="false" ht="15" hidden="false" customHeight="false" outlineLevel="0" collapsed="false">
      <c r="A1159" s="19" t="s">
        <v>1286</v>
      </c>
      <c r="B1159" s="22" t="n">
        <v>110</v>
      </c>
      <c r="C1159" s="19" t="n">
        <v>29</v>
      </c>
      <c r="D1159" s="23" t="n">
        <v>0</v>
      </c>
      <c r="E1159" s="19" t="s">
        <v>145</v>
      </c>
      <c r="F1159" s="19" t="s">
        <v>136</v>
      </c>
      <c r="G1159" s="19" t="s">
        <v>935</v>
      </c>
      <c r="H1159" s="19"/>
      <c r="I1159" s="24" t="n">
        <f aca="false">IF(AND(ISNUMBER(B1159),ISNUMBER(D1159)),B1159*D1159,0)</f>
        <v>0</v>
      </c>
    </row>
    <row r="1160" customFormat="false" ht="15" hidden="false" customHeight="false" outlineLevel="0" collapsed="false">
      <c r="A1160" s="19" t="s">
        <v>1287</v>
      </c>
      <c r="B1160" s="22" t="n">
        <v>110</v>
      </c>
      <c r="C1160" s="19" t="n">
        <v>29</v>
      </c>
      <c r="D1160" s="23" t="n">
        <v>0</v>
      </c>
      <c r="E1160" s="19" t="s">
        <v>135</v>
      </c>
      <c r="F1160" s="19" t="s">
        <v>136</v>
      </c>
      <c r="G1160" s="19" t="s">
        <v>935</v>
      </c>
      <c r="H1160" s="19"/>
      <c r="I1160" s="24" t="n">
        <f aca="false">IF(AND(ISNUMBER(B1160),ISNUMBER(D1160)),B1160*D1160,0)</f>
        <v>0</v>
      </c>
    </row>
    <row r="1161" customFormat="false" ht="15" hidden="false" customHeight="false" outlineLevel="0" collapsed="false">
      <c r="A1161" s="19" t="s">
        <v>1288</v>
      </c>
      <c r="B1161" s="22" t="n">
        <v>110</v>
      </c>
      <c r="C1161" s="19" t="n">
        <v>19</v>
      </c>
      <c r="D1161" s="23" t="n">
        <v>0.54</v>
      </c>
      <c r="E1161" s="19" t="s">
        <v>135</v>
      </c>
      <c r="F1161" s="19" t="s">
        <v>136</v>
      </c>
      <c r="G1161" s="19" t="s">
        <v>935</v>
      </c>
      <c r="H1161" s="19"/>
      <c r="I1161" s="24" t="n">
        <f aca="false">IF(AND(ISNUMBER(B1161),ISNUMBER(D1161)),B1161*D1161,0)</f>
        <v>59.4</v>
      </c>
    </row>
    <row r="1162" customFormat="false" ht="15" hidden="false" customHeight="false" outlineLevel="0" collapsed="false">
      <c r="A1162" s="19" t="s">
        <v>1289</v>
      </c>
      <c r="B1162" s="22" t="n">
        <v>110</v>
      </c>
      <c r="C1162" s="19" t="n">
        <v>12</v>
      </c>
      <c r="D1162" s="23" t="n">
        <v>0.54</v>
      </c>
      <c r="E1162" s="19" t="s">
        <v>135</v>
      </c>
      <c r="F1162" s="19" t="s">
        <v>136</v>
      </c>
      <c r="G1162" s="19" t="s">
        <v>935</v>
      </c>
      <c r="H1162" s="19"/>
      <c r="I1162" s="24" t="n">
        <f aca="false">IF(AND(ISNUMBER(B1162),ISNUMBER(D1162)),B1162*D1162,0)</f>
        <v>59.4</v>
      </c>
    </row>
    <row r="1163" customFormat="false" ht="15" hidden="false" customHeight="false" outlineLevel="0" collapsed="false">
      <c r="A1163" s="19" t="s">
        <v>1290</v>
      </c>
      <c r="B1163" s="22" t="n">
        <v>110</v>
      </c>
      <c r="C1163" s="19" t="n">
        <v>16</v>
      </c>
      <c r="D1163" s="23" t="n">
        <v>0</v>
      </c>
      <c r="E1163" s="19" t="s">
        <v>135</v>
      </c>
      <c r="F1163" s="19" t="s">
        <v>136</v>
      </c>
      <c r="G1163" s="19" t="s">
        <v>935</v>
      </c>
      <c r="H1163" s="19"/>
      <c r="I1163" s="24" t="n">
        <f aca="false">IF(AND(ISNUMBER(B1163),ISNUMBER(D1163)),B1163*D1163,0)</f>
        <v>0</v>
      </c>
    </row>
    <row r="1164" customFormat="false" ht="15" hidden="false" customHeight="false" outlineLevel="0" collapsed="false">
      <c r="A1164" s="19" t="s">
        <v>1291</v>
      </c>
      <c r="B1164" s="22" t="n">
        <v>110</v>
      </c>
      <c r="C1164" s="19" t="n">
        <v>7</v>
      </c>
      <c r="D1164" s="23" t="n">
        <v>0</v>
      </c>
      <c r="E1164" s="19" t="s">
        <v>135</v>
      </c>
      <c r="F1164" s="19" t="s">
        <v>136</v>
      </c>
      <c r="G1164" s="19" t="s">
        <v>935</v>
      </c>
      <c r="H1164" s="19"/>
      <c r="I1164" s="24" t="n">
        <f aca="false">IF(AND(ISNUMBER(B1164),ISNUMBER(D1164)),B1164*D1164,0)</f>
        <v>0</v>
      </c>
    </row>
    <row r="1165" customFormat="false" ht="15" hidden="false" customHeight="false" outlineLevel="0" collapsed="false">
      <c r="A1165" s="19" t="s">
        <v>1292</v>
      </c>
      <c r="B1165" s="22" t="n">
        <v>110</v>
      </c>
      <c r="C1165" s="19" t="n">
        <v>7</v>
      </c>
      <c r="D1165" s="23" t="n">
        <v>0</v>
      </c>
      <c r="E1165" s="19" t="s">
        <v>135</v>
      </c>
      <c r="F1165" s="19" t="s">
        <v>136</v>
      </c>
      <c r="G1165" s="19" t="s">
        <v>935</v>
      </c>
      <c r="H1165" s="19"/>
      <c r="I1165" s="24" t="n">
        <f aca="false">IF(AND(ISNUMBER(B1165),ISNUMBER(D1165)),B1165*D1165,0)</f>
        <v>0</v>
      </c>
    </row>
    <row r="1166" customFormat="false" ht="15" hidden="false" customHeight="false" outlineLevel="0" collapsed="false">
      <c r="A1166" s="19" t="s">
        <v>1293</v>
      </c>
      <c r="B1166" s="22" t="n">
        <v>20</v>
      </c>
      <c r="C1166" s="19" t="n">
        <v>11</v>
      </c>
      <c r="D1166" s="23" t="n">
        <v>1</v>
      </c>
      <c r="E1166" s="19" t="s">
        <v>157</v>
      </c>
      <c r="F1166" s="19" t="s">
        <v>151</v>
      </c>
      <c r="G1166" s="19" t="s">
        <v>935</v>
      </c>
      <c r="H1166" s="19"/>
      <c r="I1166" s="24" t="n">
        <f aca="false">IF(AND(ISNUMBER(B1166),ISNUMBER(D1166)),B1166*D1166,0)</f>
        <v>20</v>
      </c>
    </row>
    <row r="1167" customFormat="false" ht="15" hidden="false" customHeight="false" outlineLevel="0" collapsed="false">
      <c r="A1167" s="19" t="s">
        <v>1294</v>
      </c>
      <c r="B1167" s="22" t="n">
        <v>20</v>
      </c>
      <c r="C1167" s="19" t="n">
        <v>9</v>
      </c>
      <c r="D1167" s="23" t="n">
        <v>0</v>
      </c>
      <c r="E1167" s="19" t="s">
        <v>135</v>
      </c>
      <c r="F1167" s="19" t="s">
        <v>151</v>
      </c>
      <c r="G1167" s="19" t="s">
        <v>935</v>
      </c>
      <c r="H1167" s="19"/>
      <c r="I1167" s="24" t="n">
        <f aca="false">IF(AND(ISNUMBER(B1167),ISNUMBER(D1167)),B1167*D1167,0)</f>
        <v>0</v>
      </c>
    </row>
    <row r="1168" customFormat="false" ht="15" hidden="false" customHeight="false" outlineLevel="0" collapsed="false">
      <c r="A1168" s="19" t="s">
        <v>1295</v>
      </c>
      <c r="B1168" s="22" t="n">
        <v>20</v>
      </c>
      <c r="C1168" s="19" t="n">
        <v>11</v>
      </c>
      <c r="D1168" s="23" t="n">
        <v>0</v>
      </c>
      <c r="E1168" s="19" t="s">
        <v>145</v>
      </c>
      <c r="F1168" s="19" t="s">
        <v>151</v>
      </c>
      <c r="G1168" s="19" t="s">
        <v>935</v>
      </c>
      <c r="H1168" s="19"/>
      <c r="I1168" s="24" t="n">
        <f aca="false">IF(AND(ISNUMBER(B1168),ISNUMBER(D1168)),B1168*D1168,0)</f>
        <v>0</v>
      </c>
    </row>
    <row r="1169" customFormat="false" ht="15" hidden="false" customHeight="false" outlineLevel="0" collapsed="false">
      <c r="A1169" s="19" t="s">
        <v>1296</v>
      </c>
      <c r="B1169" s="22" t="n">
        <v>20</v>
      </c>
      <c r="C1169" s="19" t="n">
        <v>10</v>
      </c>
      <c r="D1169" s="23" t="n">
        <v>1.08</v>
      </c>
      <c r="E1169" s="19" t="s">
        <v>135</v>
      </c>
      <c r="F1169" s="19" t="s">
        <v>151</v>
      </c>
      <c r="G1169" s="19" t="s">
        <v>935</v>
      </c>
      <c r="H1169" s="19"/>
      <c r="I1169" s="24" t="n">
        <f aca="false">IF(AND(ISNUMBER(B1169),ISNUMBER(D1169)),B1169*D1169,0)</f>
        <v>21.6</v>
      </c>
    </row>
    <row r="1170" customFormat="false" ht="15" hidden="false" customHeight="false" outlineLevel="0" collapsed="false">
      <c r="A1170" s="19" t="s">
        <v>1297</v>
      </c>
      <c r="B1170" s="22" t="n">
        <v>10</v>
      </c>
      <c r="C1170" s="19" t="n">
        <v>8</v>
      </c>
      <c r="D1170" s="23" t="n">
        <v>0</v>
      </c>
      <c r="E1170" s="19" t="s">
        <v>135</v>
      </c>
      <c r="F1170" s="19" t="s">
        <v>151</v>
      </c>
      <c r="G1170" s="19" t="s">
        <v>935</v>
      </c>
      <c r="H1170" s="19"/>
      <c r="I1170" s="24" t="n">
        <f aca="false">IF(AND(ISNUMBER(B1170),ISNUMBER(D1170)),B1170*D1170,0)</f>
        <v>0</v>
      </c>
    </row>
  </sheetData>
  <autoFilter ref="A1:I11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4"/>
  </cols>
  <sheetData>
    <row r="1" customFormat="false" ht="16.15" hidden="false" customHeight="false" outlineLevel="0" collapsed="false">
      <c r="A1" s="25" t="s">
        <v>1298</v>
      </c>
    </row>
    <row r="3" customFormat="false" ht="15" hidden="false" customHeight="false" outlineLevel="0" collapsed="false">
      <c r="A3" s="21" t="s">
        <v>132</v>
      </c>
      <c r="B3" s="21" t="s">
        <v>1299</v>
      </c>
      <c r="C3" s="21" t="s">
        <v>1300</v>
      </c>
      <c r="D3" s="21" t="s">
        <v>1301</v>
      </c>
    </row>
    <row r="4" customFormat="false" ht="15" hidden="false" customHeight="false" outlineLevel="0" collapsed="false">
      <c r="A4" s="19" t="s">
        <v>137</v>
      </c>
      <c r="B4" s="19" t="n">
        <f aca="false">COUNTIFS('All Keywords'!$G$2:$G$1170,A4)</f>
        <v>16</v>
      </c>
      <c r="C4" s="20" t="n">
        <f aca="false">SUMIFS('All Keywords'!$B$2:$B$1170,'All Keywords'!$G$2:$G$1170,A4)</f>
        <v>6260</v>
      </c>
      <c r="D4" s="26" t="n">
        <f aca="false">IFERROR(AVERAGEIFS('All Keywords'!$C$2:$C$1170,'All Keywords'!$G$2:$G$1170,A4),"")</f>
        <v>23.9375</v>
      </c>
    </row>
    <row r="5" customFormat="false" ht="15" hidden="false" customHeight="false" outlineLevel="0" collapsed="false">
      <c r="A5" s="19" t="s">
        <v>154</v>
      </c>
      <c r="B5" s="19" t="n">
        <f aca="false">COUNTIFS('All Keywords'!$G$2:$G$1170,A5)</f>
        <v>126</v>
      </c>
      <c r="C5" s="20" t="n">
        <f aca="false">SUMIFS('All Keywords'!$B$2:$B$1170,'All Keywords'!$G$2:$G$1170,A5)</f>
        <v>29450</v>
      </c>
      <c r="D5" s="26" t="n">
        <f aca="false">IFERROR(AVERAGEIFS('All Keywords'!$C$2:$C$1170,'All Keywords'!$G$2:$G$1170,A5),"")</f>
        <v>19.64</v>
      </c>
    </row>
    <row r="6" customFormat="false" ht="15" hidden="false" customHeight="false" outlineLevel="0" collapsed="false">
      <c r="A6" s="19" t="s">
        <v>265</v>
      </c>
      <c r="B6" s="19" t="n">
        <f aca="false">COUNTIFS('All Keywords'!$G$2:$G$1170,A6)</f>
        <v>458</v>
      </c>
      <c r="C6" s="20" t="n">
        <f aca="false">SUMIFS('All Keywords'!$B$2:$B$1170,'All Keywords'!$G$2:$G$1170,A6)</f>
        <v>168860</v>
      </c>
      <c r="D6" s="26" t="n">
        <f aca="false">IFERROR(AVERAGEIFS('All Keywords'!$C$2:$C$1170,'All Keywords'!$G$2:$G$1170,A6),"")</f>
        <v>20.5218340611354</v>
      </c>
    </row>
    <row r="7" customFormat="false" ht="15" hidden="false" customHeight="false" outlineLevel="0" collapsed="false">
      <c r="A7" s="19" t="s">
        <v>726</v>
      </c>
      <c r="B7" s="19" t="n">
        <f aca="false">COUNTIFS('All Keywords'!$G$2:$G$1170,A7)</f>
        <v>60</v>
      </c>
      <c r="C7" s="20" t="n">
        <f aca="false">SUMIFS('All Keywords'!$B$2:$B$1170,'All Keywords'!$G$2:$G$1170,A7)</f>
        <v>14270</v>
      </c>
      <c r="D7" s="26" t="n">
        <f aca="false">IFERROR(AVERAGEIFS('All Keywords'!$C$2:$C$1170,'All Keywords'!$G$2:$G$1170,A7),"")</f>
        <v>21.1166666666667</v>
      </c>
    </row>
    <row r="8" customFormat="false" ht="15" hidden="false" customHeight="false" outlineLevel="0" collapsed="false">
      <c r="A8" s="19" t="s">
        <v>786</v>
      </c>
      <c r="B8" s="19" t="n">
        <f aca="false">COUNTIFS('All Keywords'!$G$2:$G$1170,A8)</f>
        <v>15</v>
      </c>
      <c r="C8" s="20" t="n">
        <f aca="false">SUMIFS('All Keywords'!$B$2:$B$1170,'All Keywords'!$G$2:$G$1170,A8)</f>
        <v>4950</v>
      </c>
      <c r="D8" s="26" t="n">
        <f aca="false">IFERROR(AVERAGEIFS('All Keywords'!$C$2:$C$1170,'All Keywords'!$G$2:$G$1170,A8),"")</f>
        <v>17.7333333333333</v>
      </c>
    </row>
    <row r="9" customFormat="false" ht="15" hidden="false" customHeight="false" outlineLevel="0" collapsed="false">
      <c r="A9" s="19" t="s">
        <v>800</v>
      </c>
      <c r="B9" s="19" t="n">
        <f aca="false">COUNTIFS('All Keywords'!$G$2:$G$1170,A9)</f>
        <v>63</v>
      </c>
      <c r="C9" s="20" t="n">
        <f aca="false">SUMIFS('All Keywords'!$B$2:$B$1170,'All Keywords'!$G$2:$G$1170,A9)</f>
        <v>22260</v>
      </c>
      <c r="D9" s="26" t="n">
        <f aca="false">IFERROR(AVERAGEIFS('All Keywords'!$C$2:$C$1170,'All Keywords'!$G$2:$G$1170,A9),"")</f>
        <v>18.6190476190476</v>
      </c>
    </row>
    <row r="10" customFormat="false" ht="15" hidden="false" customHeight="false" outlineLevel="0" collapsed="false">
      <c r="A10" s="19" t="s">
        <v>864</v>
      </c>
      <c r="B10" s="19" t="n">
        <f aca="false">COUNTIFS('All Keywords'!$G$2:$G$1170,A10)</f>
        <v>69</v>
      </c>
      <c r="C10" s="20" t="n">
        <f aca="false">SUMIFS('All Keywords'!$B$2:$B$1170,'All Keywords'!$G$2:$G$1170,A10)</f>
        <v>34170</v>
      </c>
      <c r="D10" s="26" t="n">
        <f aca="false">IFERROR(AVERAGEIFS('All Keywords'!$C$2:$C$1170,'All Keywords'!$G$2:$G$1170,A10),"")</f>
        <v>20.0588235294118</v>
      </c>
    </row>
    <row r="11" customFormat="false" ht="15" hidden="false" customHeight="false" outlineLevel="0" collapsed="false">
      <c r="A11" s="19" t="s">
        <v>935</v>
      </c>
      <c r="B11" s="19" t="n">
        <f aca="false">COUNTIFS('All Keywords'!$G$2:$G$1170,A11)</f>
        <v>362</v>
      </c>
      <c r="C11" s="20" t="n">
        <f aca="false">SUMIFS('All Keywords'!$B$2:$B$1170,'All Keywords'!$G$2:$G$1170,A11)</f>
        <v>161620</v>
      </c>
      <c r="D11" s="26" t="n">
        <f aca="false">IFERROR(AVERAGEIFS('All Keywords'!$C$2:$C$1170,'All Keywords'!$G$2:$G$1170,A11),"")</f>
        <v>18.1160220994475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2026-10-13T15:57:00Z</dcterms:created>
  <dc:creator>openpyxl</dc:creator>
  <dc:description/>
  <dc:language>en-US</dc:language>
  <cp:lastModifiedBy/>
  <dcterms:modified xsi:type="dcterms:W3CDTF">2026-10-13T15:57:00Z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